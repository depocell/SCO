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WEB REPORT\pages\sco\"/>
    </mc:Choice>
  </mc:AlternateContent>
  <xr:revisionPtr revIDLastSave="0" documentId="13_ncr:1_{BB56389F-C1F3-43AA-BAAF-B8169C01C92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KPI_SCO" sheetId="2" r:id="rId1"/>
    <sheet name="KPI_DSO" sheetId="3" r:id="rId2"/>
  </sheets>
  <definedNames>
    <definedName name="_xlnm._FilterDatabase" localSheetId="0" hidden="1">KPI_SCO!$A$1:$Q$52</definedName>
  </definedNames>
  <calcPr calcId="191029"/>
</workbook>
</file>

<file path=xl/calcChain.xml><?xml version="1.0" encoding="utf-8"?>
<calcChain xmlns="http://schemas.openxmlformats.org/spreadsheetml/2006/main">
  <c r="E13" i="3" l="1"/>
  <c r="E14" i="3"/>
  <c r="B13" i="3"/>
  <c r="D13" i="3" s="1"/>
  <c r="B14" i="3"/>
  <c r="D14" i="3" s="1"/>
  <c r="G13" i="3"/>
  <c r="H13" i="3"/>
  <c r="J13" i="3"/>
  <c r="K13" i="3"/>
  <c r="M13" i="3"/>
  <c r="P13" i="3"/>
  <c r="Q13" i="3" s="1"/>
  <c r="G14" i="3"/>
  <c r="H14" i="3"/>
  <c r="J14" i="3" s="1"/>
  <c r="K14" i="3"/>
  <c r="M14" i="3"/>
  <c r="P14" i="3"/>
  <c r="Q14" i="3" s="1"/>
  <c r="N5" i="3"/>
  <c r="N8" i="3"/>
  <c r="N9" i="3"/>
  <c r="N10" i="3"/>
  <c r="N11" i="3"/>
  <c r="N4" i="3"/>
  <c r="P12" i="3"/>
  <c r="Q12" i="3" s="1"/>
  <c r="M12" i="3"/>
  <c r="K12" i="3"/>
  <c r="H12" i="3"/>
  <c r="J12" i="3" s="1"/>
  <c r="G12" i="3"/>
  <c r="N12" i="3" s="1"/>
  <c r="E12" i="3"/>
  <c r="B12" i="3"/>
  <c r="D12" i="3" s="1"/>
  <c r="P11" i="3"/>
  <c r="Q11" i="3" s="1"/>
  <c r="K11" i="3"/>
  <c r="M11" i="3" s="1"/>
  <c r="H11" i="3"/>
  <c r="J11" i="3" s="1"/>
  <c r="E11" i="3"/>
  <c r="G11" i="3" s="1"/>
  <c r="B11" i="3"/>
  <c r="D11" i="3" s="1"/>
  <c r="P10" i="3"/>
  <c r="Q10" i="3" s="1"/>
  <c r="K10" i="3"/>
  <c r="M10" i="3" s="1"/>
  <c r="J10" i="3"/>
  <c r="H10" i="3"/>
  <c r="E10" i="3"/>
  <c r="G10" i="3" s="1"/>
  <c r="D10" i="3"/>
  <c r="B10" i="3"/>
  <c r="P9" i="3"/>
  <c r="Q9" i="3" s="1"/>
  <c r="K9" i="3"/>
  <c r="M9" i="3" s="1"/>
  <c r="H9" i="3"/>
  <c r="J9" i="3" s="1"/>
  <c r="E9" i="3"/>
  <c r="G9" i="3" s="1"/>
  <c r="B9" i="3"/>
  <c r="D9" i="3" s="1"/>
  <c r="P8" i="3"/>
  <c r="Q8" i="3" s="1"/>
  <c r="M8" i="3"/>
  <c r="K8" i="3"/>
  <c r="H8" i="3"/>
  <c r="J8" i="3" s="1"/>
  <c r="G8" i="3"/>
  <c r="E8" i="3"/>
  <c r="B8" i="3"/>
  <c r="D8" i="3" s="1"/>
  <c r="Q7" i="3"/>
  <c r="P7" i="3"/>
  <c r="K7" i="3"/>
  <c r="M7" i="3" s="1"/>
  <c r="H7" i="3"/>
  <c r="J7" i="3" s="1"/>
  <c r="N7" i="3" s="1"/>
  <c r="E7" i="3"/>
  <c r="G7" i="3" s="1"/>
  <c r="B7" i="3"/>
  <c r="D7" i="3" s="1"/>
  <c r="P6" i="3"/>
  <c r="Q6" i="3" s="1"/>
  <c r="K6" i="3"/>
  <c r="M6" i="3" s="1"/>
  <c r="J6" i="3"/>
  <c r="N6" i="3" s="1"/>
  <c r="H6" i="3"/>
  <c r="E6" i="3"/>
  <c r="G6" i="3" s="1"/>
  <c r="D6" i="3"/>
  <c r="B6" i="3"/>
  <c r="P5" i="3"/>
  <c r="Q5" i="3" s="1"/>
  <c r="K5" i="3"/>
  <c r="M5" i="3" s="1"/>
  <c r="H5" i="3"/>
  <c r="J5" i="3" s="1"/>
  <c r="E5" i="3"/>
  <c r="G5" i="3" s="1"/>
  <c r="B5" i="3"/>
  <c r="D5" i="3" s="1"/>
  <c r="P4" i="3"/>
  <c r="Q4" i="3" s="1"/>
  <c r="M4" i="3"/>
  <c r="K4" i="3"/>
  <c r="H4" i="3"/>
  <c r="J4" i="3" s="1"/>
  <c r="G4" i="3"/>
  <c r="E4" i="3"/>
  <c r="B4" i="3"/>
  <c r="D4" i="3" s="1"/>
  <c r="O52" i="2"/>
  <c r="L52" i="2"/>
  <c r="I52" i="2"/>
  <c r="F52" i="2"/>
  <c r="O51" i="2"/>
  <c r="L51" i="2"/>
  <c r="I51" i="2"/>
  <c r="F51" i="2"/>
  <c r="O50" i="2"/>
  <c r="L50" i="2"/>
  <c r="I50" i="2"/>
  <c r="F50" i="2"/>
  <c r="O49" i="2"/>
  <c r="L49" i="2"/>
  <c r="I49" i="2"/>
  <c r="F49" i="2"/>
  <c r="O48" i="2"/>
  <c r="L48" i="2"/>
  <c r="I48" i="2"/>
  <c r="F48" i="2"/>
  <c r="O47" i="2"/>
  <c r="L47" i="2"/>
  <c r="I47" i="2"/>
  <c r="F47" i="2"/>
  <c r="O46" i="2"/>
  <c r="L46" i="2"/>
  <c r="I46" i="2"/>
  <c r="F46" i="2"/>
  <c r="O45" i="2"/>
  <c r="L45" i="2"/>
  <c r="I45" i="2"/>
  <c r="F45" i="2"/>
  <c r="O44" i="2"/>
  <c r="L44" i="2"/>
  <c r="I44" i="2"/>
  <c r="F44" i="2"/>
  <c r="O43" i="2"/>
  <c r="L43" i="2"/>
  <c r="I43" i="2"/>
  <c r="F43" i="2"/>
  <c r="O42" i="2"/>
  <c r="L42" i="2"/>
  <c r="I42" i="2"/>
  <c r="F42" i="2"/>
  <c r="O41" i="2"/>
  <c r="L41" i="2"/>
  <c r="I41" i="2"/>
  <c r="F41" i="2"/>
  <c r="O40" i="2"/>
  <c r="L40" i="2"/>
  <c r="I40" i="2"/>
  <c r="F40" i="2"/>
  <c r="O39" i="2"/>
  <c r="L39" i="2"/>
  <c r="I39" i="2"/>
  <c r="F39" i="2"/>
  <c r="O38" i="2"/>
  <c r="L38" i="2"/>
  <c r="I38" i="2"/>
  <c r="F38" i="2"/>
  <c r="O37" i="2"/>
  <c r="L37" i="2"/>
  <c r="I37" i="2"/>
  <c r="F37" i="2"/>
  <c r="O36" i="2"/>
  <c r="L36" i="2"/>
  <c r="I36" i="2"/>
  <c r="F36" i="2"/>
  <c r="O35" i="2"/>
  <c r="L35" i="2"/>
  <c r="I35" i="2"/>
  <c r="F35" i="2"/>
  <c r="O34" i="2"/>
  <c r="L34" i="2"/>
  <c r="I34" i="2"/>
  <c r="F34" i="2"/>
  <c r="O33" i="2"/>
  <c r="L33" i="2"/>
  <c r="I33" i="2"/>
  <c r="F33" i="2"/>
  <c r="O32" i="2"/>
  <c r="L32" i="2"/>
  <c r="I32" i="2"/>
  <c r="F32" i="2"/>
  <c r="O31" i="2"/>
  <c r="L31" i="2"/>
  <c r="I31" i="2"/>
  <c r="F31" i="2"/>
  <c r="O30" i="2"/>
  <c r="L30" i="2"/>
  <c r="I30" i="2"/>
  <c r="F30" i="2"/>
  <c r="O29" i="2"/>
  <c r="L29" i="2"/>
  <c r="I29" i="2"/>
  <c r="F29" i="2"/>
  <c r="O28" i="2"/>
  <c r="L28" i="2"/>
  <c r="I28" i="2"/>
  <c r="F28" i="2"/>
  <c r="O27" i="2"/>
  <c r="L27" i="2"/>
  <c r="I27" i="2"/>
  <c r="F27" i="2"/>
  <c r="O26" i="2"/>
  <c r="L26" i="2"/>
  <c r="I26" i="2"/>
  <c r="F26" i="2"/>
  <c r="O25" i="2"/>
  <c r="L25" i="2"/>
  <c r="I25" i="2"/>
  <c r="F25" i="2"/>
  <c r="O24" i="2"/>
  <c r="L24" i="2"/>
  <c r="I24" i="2"/>
  <c r="F24" i="2"/>
  <c r="O23" i="2"/>
  <c r="L23" i="2"/>
  <c r="I23" i="2"/>
  <c r="F23" i="2"/>
  <c r="O22" i="2"/>
  <c r="L22" i="2"/>
  <c r="I22" i="2"/>
  <c r="F22" i="2"/>
  <c r="O21" i="2"/>
  <c r="L21" i="2"/>
  <c r="I21" i="2"/>
  <c r="F21" i="2"/>
  <c r="O20" i="2"/>
  <c r="L20" i="2"/>
  <c r="I20" i="2"/>
  <c r="F20" i="2"/>
  <c r="O19" i="2"/>
  <c r="L19" i="2"/>
  <c r="I19" i="2"/>
  <c r="F19" i="2"/>
  <c r="O18" i="2"/>
  <c r="L18" i="2"/>
  <c r="I18" i="2"/>
  <c r="F18" i="2"/>
  <c r="O17" i="2"/>
  <c r="L17" i="2"/>
  <c r="I17" i="2"/>
  <c r="F17" i="2"/>
  <c r="O16" i="2"/>
  <c r="L16" i="2"/>
  <c r="I16" i="2"/>
  <c r="F16" i="2"/>
  <c r="O15" i="2"/>
  <c r="L15" i="2"/>
  <c r="I15" i="2"/>
  <c r="F15" i="2"/>
  <c r="O14" i="2"/>
  <c r="L14" i="2"/>
  <c r="I14" i="2"/>
  <c r="F14" i="2"/>
  <c r="O13" i="2"/>
  <c r="L13" i="2"/>
  <c r="I13" i="2"/>
  <c r="F13" i="2"/>
  <c r="O12" i="2"/>
  <c r="L12" i="2"/>
  <c r="I12" i="2"/>
  <c r="F12" i="2"/>
  <c r="O11" i="2"/>
  <c r="L11" i="2"/>
  <c r="I11" i="2"/>
  <c r="F11" i="2"/>
  <c r="O10" i="2"/>
  <c r="L10" i="2"/>
  <c r="I10" i="2"/>
  <c r="F10" i="2"/>
  <c r="O9" i="2"/>
  <c r="L9" i="2"/>
  <c r="I9" i="2"/>
  <c r="F9" i="2"/>
  <c r="O8" i="2"/>
  <c r="L8" i="2"/>
  <c r="I8" i="2"/>
  <c r="F8" i="2"/>
  <c r="O7" i="2"/>
  <c r="L7" i="2"/>
  <c r="I7" i="2"/>
  <c r="F7" i="2"/>
  <c r="O6" i="2"/>
  <c r="L6" i="2"/>
  <c r="I6" i="2"/>
  <c r="F6" i="2"/>
  <c r="O5" i="2"/>
  <c r="L5" i="2"/>
  <c r="I5" i="2"/>
  <c r="F5" i="2"/>
  <c r="O4" i="2"/>
  <c r="L4" i="2"/>
  <c r="I4" i="2"/>
  <c r="F4" i="2"/>
  <c r="O3" i="2"/>
  <c r="L3" i="2"/>
  <c r="I3" i="2"/>
  <c r="F3" i="2"/>
  <c r="O2" i="2"/>
  <c r="L2" i="2"/>
  <c r="I2" i="2"/>
  <c r="F2" i="2"/>
  <c r="P2" i="2" l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N13" i="3"/>
  <c r="N14" i="3"/>
</calcChain>
</file>

<file path=xl/sharedStrings.xml><?xml version="1.0" encoding="utf-8"?>
<sst xmlns="http://schemas.openxmlformats.org/spreadsheetml/2006/main" count="88" uniqueCount="34">
  <si>
    <t>Abdul Harris</t>
  </si>
  <si>
    <t>Febri Kurniawan</t>
  </si>
  <si>
    <t>Hupron</t>
  </si>
  <si>
    <t>Khoirul Anan</t>
  </si>
  <si>
    <t>Mas Komarjaya</t>
  </si>
  <si>
    <t>Bulan</t>
  </si>
  <si>
    <t>Nama</t>
  </si>
  <si>
    <t>#PJP</t>
  </si>
  <si>
    <t>Tgt 
Visit</t>
  </si>
  <si>
    <t>Ach 
Visit</t>
  </si>
  <si>
    <t>% Ach</t>
  </si>
  <si>
    <t>Tgt 
Coll</t>
  </si>
  <si>
    <t>Ach 
Coll</t>
  </si>
  <si>
    <t>%Ach</t>
  </si>
  <si>
    <t>Tgt
Trx</t>
  </si>
  <si>
    <t>Ach
Trx</t>
  </si>
  <si>
    <t>Trx 
Bulan 
Lalu</t>
  </si>
  <si>
    <t>Trx 
Bulan 
Ini</t>
  </si>
  <si>
    <t>% 
Growth</t>
  </si>
  <si>
    <t>TOTAL 
KPI 
SCORE</t>
  </si>
  <si>
    <t>Insentif (Rp.)</t>
  </si>
  <si>
    <t>Angga Junhamsah</t>
  </si>
  <si>
    <t>Angga Saputra</t>
  </si>
  <si>
    <t>NAMA SCO</t>
  </si>
  <si>
    <t>KPI 
SCORE</t>
  </si>
  <si>
    <t>MULTIPLIER INSENTIF</t>
  </si>
  <si>
    <t>ESTIMASI INSENTIF (Rupiah)</t>
  </si>
  <si>
    <t>NEW MEMBER</t>
  </si>
  <si>
    <t>DAILY TRANSACTION</t>
  </si>
  <si>
    <t>VOUCHER</t>
  </si>
  <si>
    <t>PERDANA</t>
  </si>
  <si>
    <t>Tgt</t>
  </si>
  <si>
    <t>Ach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</si>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</sst>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_-;\-* #,##0_-;_-* &quot;-&quot;_-;_-@"/>
    <numFmt numFmtId="165" formatCode="_-* #,##0_-;\-* #,##0_-;_-* &quot;-&quot;??_-;_-@_-"/>
    <numFmt numFmtId="166" formatCode="0.0%"/>
    <numFmt numFmtId="167" formatCode="_-* #,##0.0_-;\-* #,##0.0_-;_-* &quot;-&quot;??_-;_-@_-"/>
    <numFmt numFmtId="168" formatCode="_-* #,##0_-;\-* #,##0_-;_-* &quot;-&quot;?_-;_-@_-"/>
  </numFmts>
  <fonts count="13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11"/>
      <color theme="1"/>
      <name val="Calibri"/>
      <family val="2"/>
    </font>
    <font>
      <sz val="9"/>
      <color rgb="FF000000"/>
      <name val="Arial"/>
      <family val="2"/>
    </font>
    <font>
      <sz val="9"/>
      <color rgb="FF00008B"/>
      <name val="Arial"/>
      <family val="2"/>
    </font>
    <font>
      <sz val="9"/>
      <color rgb="FF1A6B3A"/>
      <name val="Arial"/>
      <family val="2"/>
    </font>
    <font>
      <b/>
      <sz val="9"/>
      <color rgb="FF1A6B3A"/>
      <name val="Arial"/>
      <family val="2"/>
    </font>
    <font>
      <b/>
      <sz val="9"/>
      <color rgb="FF4F6FE8"/>
      <name val="Arial"/>
      <family val="2"/>
    </font>
    <font>
      <sz val="11"/>
      <color theme="1"/>
      <name val="Calibri"/>
      <family val="2"/>
      <scheme val="minor"/>
    </font>
    <font>
      <sz val="12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b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4F6FE8"/>
        <bgColor rgb="FF4F6FE8"/>
      </patternFill>
    </fill>
    <fill>
      <patternFill patternType="solid">
        <fgColor rgb="FF1A6B3A"/>
        <bgColor rgb="FF1A6B3A"/>
      </patternFill>
    </fill>
    <fill>
      <patternFill patternType="solid">
        <fgColor rgb="FFF8CBAD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A5A5A5"/>
        <bgColor rgb="FF000000"/>
      </patternFill>
    </fill>
  </fills>
  <borders count="9">
    <border>
      <left/>
      <right/>
      <top/>
      <bottom/>
      <diagonal/>
    </border>
    <border>
      <left style="thin">
        <color rgb="FFBFC6E8"/>
      </left>
      <right style="thin">
        <color rgb="FFBFC6E8"/>
      </right>
      <top style="thin">
        <color rgb="FFBFC6E8"/>
      </top>
      <bottom style="thin">
        <color rgb="FFBFC6E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/>
    <xf numFmtId="17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167" fontId="9" fillId="0" borderId="2" xfId="3" applyNumberFormat="1" applyFont="1" applyBorder="1" applyAlignment="1">
      <alignment horizontal="center" vertical="center"/>
    </xf>
    <xf numFmtId="0" fontId="11" fillId="0" borderId="0" xfId="0" applyFont="1"/>
    <xf numFmtId="0" fontId="10" fillId="5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17" fontId="11" fillId="0" borderId="2" xfId="0" applyNumberFormat="1" applyFont="1" applyBorder="1" applyAlignment="1">
      <alignment horizontal="left" vertical="center"/>
    </xf>
    <xf numFmtId="165" fontId="11" fillId="0" borderId="2" xfId="1" applyNumberFormat="1" applyFont="1" applyFill="1" applyBorder="1" applyAlignment="1">
      <alignment horizontal="center" vertical="center"/>
    </xf>
    <xf numFmtId="166" fontId="11" fillId="0" borderId="2" xfId="2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9" fillId="0" borderId="2" xfId="2" applyNumberFormat="1" applyFont="1" applyFill="1" applyBorder="1" applyAlignment="1">
      <alignment horizontal="center" vertical="center"/>
    </xf>
    <xf numFmtId="168" fontId="10" fillId="0" borderId="2" xfId="0" applyNumberFormat="1" applyFont="1" applyBorder="1" applyAlignment="1">
      <alignment horizontal="center" vertical="center"/>
    </xf>
    <xf numFmtId="17" fontId="11" fillId="0" borderId="2" xfId="0" applyNumberFormat="1" applyFont="1" applyBorder="1" applyAlignment="1">
      <alignment horizontal="left"/>
    </xf>
    <xf numFmtId="0" fontId="10" fillId="4" borderId="2" xfId="0" applyFont="1" applyFill="1" applyBorder="1" applyAlignment="1">
      <alignment horizontal="center" vertical="center"/>
    </xf>
    <xf numFmtId="9" fontId="10" fillId="5" borderId="3" xfId="0" applyNumberFormat="1" applyFont="1" applyFill="1" applyBorder="1" applyAlignment="1">
      <alignment horizontal="center" vertical="center"/>
    </xf>
    <xf numFmtId="9" fontId="10" fillId="5" borderId="4" xfId="0" applyNumberFormat="1" applyFont="1" applyFill="1" applyBorder="1" applyAlignment="1">
      <alignment horizontal="center" vertical="center"/>
    </xf>
    <xf numFmtId="9" fontId="10" fillId="5" borderId="5" xfId="0" applyNumberFormat="1" applyFont="1" applyFill="1" applyBorder="1" applyAlignment="1">
      <alignment horizontal="center" vertical="center"/>
    </xf>
    <xf numFmtId="9" fontId="10" fillId="6" borderId="3" xfId="0" applyNumberFormat="1" applyFont="1" applyFill="1" applyBorder="1" applyAlignment="1">
      <alignment horizontal="center" vertical="center"/>
    </xf>
    <xf numFmtId="9" fontId="10" fillId="6" borderId="4" xfId="0" applyNumberFormat="1" applyFont="1" applyFill="1" applyBorder="1" applyAlignment="1">
      <alignment horizontal="center" vertical="center"/>
    </xf>
    <xf numFmtId="9" fontId="10" fillId="6" borderId="5" xfId="0" applyNumberFormat="1" applyFont="1" applyFill="1" applyBorder="1" applyAlignment="1">
      <alignment horizontal="center" vertical="center"/>
    </xf>
    <xf numFmtId="9" fontId="10" fillId="7" borderId="3" xfId="0" applyNumberFormat="1" applyFont="1" applyFill="1" applyBorder="1" applyAlignment="1">
      <alignment horizontal="center" vertical="center"/>
    </xf>
    <xf numFmtId="9" fontId="10" fillId="7" borderId="4" xfId="0" applyNumberFormat="1" applyFont="1" applyFill="1" applyBorder="1" applyAlignment="1">
      <alignment horizontal="center" vertical="center"/>
    </xf>
    <xf numFmtId="9" fontId="10" fillId="7" borderId="5" xfId="0" applyNumberFormat="1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horizontal="center" vertical="center" wrapText="1"/>
    </xf>
    <xf numFmtId="0" fontId="10" fillId="9" borderId="7" xfId="0" applyFont="1" applyFill="1" applyBorder="1" applyAlignment="1">
      <alignment horizontal="center" vertical="center" wrapText="1"/>
    </xf>
    <xf numFmtId="0" fontId="10" fillId="9" borderId="8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3" xr:uid="{DBE81324-0B33-4294-821C-0B109FBA027A}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7"/>
  <sheetViews>
    <sheetView tabSelected="1" workbookViewId="0">
      <selection activeCell="I1" sqref="I1"/>
    </sheetView>
  </sheetViews>
  <sheetFormatPr defaultRowHeight="15" x14ac:dyDescent="0.25"/>
  <cols>
    <col min="1" max="1" width="8.140625" customWidth="1"/>
    <col min="2" max="2" width="16" customWidth="1"/>
    <col min="3" max="3" width="9.85546875" customWidth="1"/>
    <col min="4" max="4" width="9.140625" customWidth="1"/>
    <col min="6" max="6" width="10.42578125" customWidth="1"/>
    <col min="7" max="7" width="8.5703125" customWidth="1"/>
    <col min="8" max="8" width="8.7109375" customWidth="1"/>
    <col min="9" max="9" width="10" customWidth="1"/>
    <col min="10" max="10" width="8.85546875" customWidth="1"/>
    <col min="12" max="12" width="10.42578125" customWidth="1"/>
    <col min="13" max="13" width="10.140625" customWidth="1"/>
    <col min="15" max="15" width="11.42578125" customWidth="1"/>
    <col min="16" max="16" width="11.28515625" customWidth="1"/>
    <col min="17" max="17" width="15.7109375" customWidth="1"/>
    <col min="18" max="18" width="8.7109375" customWidth="1"/>
  </cols>
  <sheetData>
    <row r="1" spans="1:26" ht="36" customHeigh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2" t="s">
        <v>10</v>
      </c>
      <c r="G1" s="1" t="s">
        <v>11</v>
      </c>
      <c r="H1" s="1" t="s">
        <v>12</v>
      </c>
      <c r="I1" s="2" t="s">
        <v>13</v>
      </c>
      <c r="J1" s="1" t="s">
        <v>14</v>
      </c>
      <c r="K1" s="1" t="s">
        <v>15</v>
      </c>
      <c r="L1" s="2" t="s">
        <v>10</v>
      </c>
      <c r="M1" s="1" t="s">
        <v>16</v>
      </c>
      <c r="N1" s="1" t="s">
        <v>17</v>
      </c>
      <c r="O1" s="2" t="s">
        <v>18</v>
      </c>
      <c r="P1" s="2" t="s">
        <v>19</v>
      </c>
      <c r="Q1" s="2" t="s">
        <v>20</v>
      </c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4">
        <v>46023</v>
      </c>
      <c r="B2" s="5" t="s">
        <v>21</v>
      </c>
      <c r="C2" s="6">
        <v>65</v>
      </c>
      <c r="D2" s="6">
        <v>519</v>
      </c>
      <c r="E2" s="6">
        <v>450</v>
      </c>
      <c r="F2" s="7">
        <f t="shared" ref="F2:F33" si="0">IFERROR(E2/D2,"")</f>
        <v>0.86705202312138729</v>
      </c>
      <c r="G2" s="6">
        <v>391</v>
      </c>
      <c r="H2" s="6">
        <v>373</v>
      </c>
      <c r="I2" s="7">
        <f t="shared" ref="I2:I33" si="1">IFERROR(H2/G2,"")</f>
        <v>0.95396419437340152</v>
      </c>
      <c r="J2" s="8">
        <v>1171.1774069755111</v>
      </c>
      <c r="K2" s="8">
        <v>768.09677419354841</v>
      </c>
      <c r="L2" s="7">
        <f t="shared" ref="L2:L33" si="2">IFERROR(K2/J2,"")</f>
        <v>0.65583298449814531</v>
      </c>
      <c r="M2" s="8">
        <v>822.9677419354839</v>
      </c>
      <c r="N2" s="8">
        <v>770.35483870967744</v>
      </c>
      <c r="O2" s="7">
        <f t="shared" ref="O2:O33" si="3">IFERROR((N2-M2)/M2,"")</f>
        <v>-6.3930699278770792E-2</v>
      </c>
      <c r="P2" s="9">
        <f t="shared" ref="P2:P33" si="4">IFERROR((F2*0.15)+(I2*0.25)+(L2*0.35)+(O2*25%),0)</f>
        <v>0.58210772181621651</v>
      </c>
      <c r="Q2" s="10">
        <v>765543.64694686583</v>
      </c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4">
        <v>46023</v>
      </c>
      <c r="B3" s="5" t="s">
        <v>22</v>
      </c>
      <c r="C3" s="6">
        <v>73</v>
      </c>
      <c r="D3" s="6">
        <v>567</v>
      </c>
      <c r="E3" s="6">
        <v>502</v>
      </c>
      <c r="F3" s="7">
        <f t="shared" si="0"/>
        <v>0.88536155202821865</v>
      </c>
      <c r="G3" s="6">
        <v>459</v>
      </c>
      <c r="H3" s="6">
        <v>443</v>
      </c>
      <c r="I3" s="7">
        <f t="shared" si="1"/>
        <v>0.96514161220043571</v>
      </c>
      <c r="J3" s="8">
        <v>1447.9961496872679</v>
      </c>
      <c r="K3" s="8">
        <v>953.58064516129048</v>
      </c>
      <c r="L3" s="7">
        <f t="shared" si="2"/>
        <v>0.65855192043655697</v>
      </c>
      <c r="M3" s="8">
        <v>1017.483870967742</v>
      </c>
      <c r="N3" s="8">
        <v>957.06451612903243</v>
      </c>
      <c r="O3" s="7">
        <f t="shared" si="3"/>
        <v>-5.9381142603512627E-2</v>
      </c>
      <c r="P3" s="9">
        <f t="shared" si="4"/>
        <v>0.58973752235625854</v>
      </c>
      <c r="Q3" s="10">
        <v>912696.06969569088</v>
      </c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4">
        <v>46023</v>
      </c>
      <c r="B4" s="5" t="s">
        <v>1</v>
      </c>
      <c r="C4" s="6">
        <v>60</v>
      </c>
      <c r="D4" s="6">
        <v>498</v>
      </c>
      <c r="E4" s="6">
        <v>451</v>
      </c>
      <c r="F4" s="7">
        <f t="shared" si="0"/>
        <v>0.90562248995983941</v>
      </c>
      <c r="G4" s="6">
        <v>289</v>
      </c>
      <c r="H4" s="6">
        <v>272</v>
      </c>
      <c r="I4" s="7">
        <f t="shared" si="1"/>
        <v>0.94117647058823528</v>
      </c>
      <c r="J4" s="8">
        <v>1017.205588890067</v>
      </c>
      <c r="K4" s="8">
        <v>659.38709677419342</v>
      </c>
      <c r="L4" s="7">
        <f t="shared" si="2"/>
        <v>0.64823385161861879</v>
      </c>
      <c r="M4" s="8">
        <v>714.77419354838742</v>
      </c>
      <c r="N4" s="8">
        <v>659.38709677419342</v>
      </c>
      <c r="O4" s="7">
        <f t="shared" si="3"/>
        <v>-7.7488943045401798E-2</v>
      </c>
      <c r="P4" s="9">
        <f t="shared" si="4"/>
        <v>0.57864710344620074</v>
      </c>
      <c r="Q4" s="10">
        <v>532511.11111111077</v>
      </c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4">
        <v>46023</v>
      </c>
      <c r="B5" s="5" t="s">
        <v>2</v>
      </c>
      <c r="C5" s="6">
        <v>115</v>
      </c>
      <c r="D5" s="6">
        <v>915</v>
      </c>
      <c r="E5" s="6">
        <v>794</v>
      </c>
      <c r="F5" s="7">
        <f t="shared" si="0"/>
        <v>0.86775956284153011</v>
      </c>
      <c r="G5" s="6">
        <v>768</v>
      </c>
      <c r="H5" s="6">
        <v>723</v>
      </c>
      <c r="I5" s="7">
        <f t="shared" si="1"/>
        <v>0.94140625</v>
      </c>
      <c r="J5" s="8">
        <v>1940.7610558676979</v>
      </c>
      <c r="K5" s="8">
        <v>1239.516129032258</v>
      </c>
      <c r="L5" s="7">
        <f t="shared" si="2"/>
        <v>0.63867528941015406</v>
      </c>
      <c r="M5" s="8">
        <v>1363.741935483871</v>
      </c>
      <c r="N5" s="8">
        <v>1247.741935483871</v>
      </c>
      <c r="O5" s="7">
        <f t="shared" si="3"/>
        <v>-8.5060081370044463E-2</v>
      </c>
      <c r="P5" s="9">
        <f t="shared" si="4"/>
        <v>0.5677868278772723</v>
      </c>
      <c r="Q5" s="10">
        <v>996305.55555555422</v>
      </c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4">
        <v>46023</v>
      </c>
      <c r="B6" s="5" t="s">
        <v>3</v>
      </c>
      <c r="C6" s="6">
        <v>68</v>
      </c>
      <c r="D6" s="6">
        <v>557</v>
      </c>
      <c r="E6" s="6">
        <v>556</v>
      </c>
      <c r="F6" s="7">
        <f t="shared" si="0"/>
        <v>0.99820466786355477</v>
      </c>
      <c r="G6" s="6">
        <v>469</v>
      </c>
      <c r="H6" s="6">
        <v>459</v>
      </c>
      <c r="I6" s="7">
        <f t="shared" si="1"/>
        <v>0.97867803837953093</v>
      </c>
      <c r="J6" s="8">
        <v>707.19614120640301</v>
      </c>
      <c r="K6" s="8">
        <v>472.54838709677432</v>
      </c>
      <c r="L6" s="7">
        <f t="shared" si="2"/>
        <v>0.66819989471471941</v>
      </c>
      <c r="M6" s="8">
        <v>496.93548387096791</v>
      </c>
      <c r="N6" s="8">
        <v>472.54838709677432</v>
      </c>
      <c r="O6" s="7">
        <f t="shared" si="3"/>
        <v>-4.9074975657254216E-2</v>
      </c>
      <c r="P6" s="9">
        <f t="shared" si="4"/>
        <v>0.61600142901025412</v>
      </c>
      <c r="Q6" s="10">
        <v>487870.20687715628</v>
      </c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4">
        <v>46023</v>
      </c>
      <c r="B7" s="5" t="s">
        <v>4</v>
      </c>
      <c r="C7" s="6">
        <v>35</v>
      </c>
      <c r="D7" s="6">
        <v>283</v>
      </c>
      <c r="E7" s="6">
        <v>195</v>
      </c>
      <c r="F7" s="7">
        <f t="shared" si="0"/>
        <v>0.68904593639575973</v>
      </c>
      <c r="G7" s="6">
        <v>288</v>
      </c>
      <c r="H7" s="6">
        <v>264</v>
      </c>
      <c r="I7" s="7">
        <f t="shared" si="1"/>
        <v>0.91666666666666663</v>
      </c>
      <c r="J7" s="8">
        <v>211.26365737305201</v>
      </c>
      <c r="K7" s="8">
        <v>103.0645161290322</v>
      </c>
      <c r="L7" s="7">
        <f t="shared" si="2"/>
        <v>0.48784782678943961</v>
      </c>
      <c r="M7" s="8">
        <v>148.45161290322591</v>
      </c>
      <c r="N7" s="8">
        <v>139.74193548387089</v>
      </c>
      <c r="O7" s="7">
        <f t="shared" si="3"/>
        <v>-5.8670143415907289E-2</v>
      </c>
      <c r="P7" s="9">
        <f t="shared" si="4"/>
        <v>0.48860276064835761</v>
      </c>
      <c r="Q7" s="10">
        <v>0</v>
      </c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4">
        <v>46054</v>
      </c>
      <c r="B8" s="5" t="s">
        <v>21</v>
      </c>
      <c r="C8" s="6">
        <v>66</v>
      </c>
      <c r="D8" s="6">
        <v>516</v>
      </c>
      <c r="E8" s="6">
        <v>496</v>
      </c>
      <c r="F8" s="7">
        <f t="shared" si="0"/>
        <v>0.96124031007751942</v>
      </c>
      <c r="G8" s="6">
        <v>351</v>
      </c>
      <c r="H8" s="6">
        <v>334</v>
      </c>
      <c r="I8" s="7">
        <f t="shared" si="1"/>
        <v>0.95156695156695159</v>
      </c>
      <c r="J8" s="8">
        <v>1178.3850044439721</v>
      </c>
      <c r="K8" s="8">
        <v>784.14285714285677</v>
      </c>
      <c r="L8" s="7">
        <f t="shared" si="2"/>
        <v>0.66543859111043191</v>
      </c>
      <c r="M8" s="8">
        <v>770.35483870967744</v>
      </c>
      <c r="N8" s="8">
        <v>784.42857142857099</v>
      </c>
      <c r="O8" s="7">
        <f t="shared" si="3"/>
        <v>1.82691559937063E-2</v>
      </c>
      <c r="P8" s="9">
        <f t="shared" si="4"/>
        <v>0.61954858029044357</v>
      </c>
      <c r="Q8" s="10">
        <v>680140.43144284864</v>
      </c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4">
        <v>46054</v>
      </c>
      <c r="B9" s="5" t="s">
        <v>22</v>
      </c>
      <c r="C9" s="6">
        <v>75</v>
      </c>
      <c r="D9" s="6">
        <v>602</v>
      </c>
      <c r="E9" s="6">
        <v>529</v>
      </c>
      <c r="F9" s="7">
        <f t="shared" si="0"/>
        <v>0.87873754152823924</v>
      </c>
      <c r="G9" s="6">
        <v>429</v>
      </c>
      <c r="H9" s="6">
        <v>420</v>
      </c>
      <c r="I9" s="7">
        <f t="shared" si="1"/>
        <v>0.97902097902097907</v>
      </c>
      <c r="J9" s="8">
        <v>1463.9883043778821</v>
      </c>
      <c r="K9" s="8">
        <v>965.71428571428567</v>
      </c>
      <c r="L9" s="7">
        <f t="shared" si="2"/>
        <v>0.6596461753324343</v>
      </c>
      <c r="M9" s="8">
        <v>957.06451612903243</v>
      </c>
      <c r="N9" s="8">
        <v>976.71428571428567</v>
      </c>
      <c r="O9" s="7">
        <f t="shared" si="3"/>
        <v>2.0531290476350748E-2</v>
      </c>
      <c r="P9" s="9">
        <f t="shared" si="4"/>
        <v>0.61257485996992034</v>
      </c>
      <c r="Q9" s="10">
        <v>828201.21067933226</v>
      </c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4">
        <v>46054</v>
      </c>
      <c r="B10" s="5" t="s">
        <v>1</v>
      </c>
      <c r="C10" s="6">
        <v>60</v>
      </c>
      <c r="D10" s="6">
        <v>480</v>
      </c>
      <c r="E10" s="6">
        <v>427</v>
      </c>
      <c r="F10" s="7">
        <f t="shared" si="0"/>
        <v>0.88958333333333328</v>
      </c>
      <c r="G10" s="6">
        <v>263</v>
      </c>
      <c r="H10" s="6">
        <v>250</v>
      </c>
      <c r="I10" s="7">
        <f t="shared" si="1"/>
        <v>0.95057034220532322</v>
      </c>
      <c r="J10" s="8">
        <v>1008.000036463358</v>
      </c>
      <c r="K10" s="8">
        <v>676.07142857142856</v>
      </c>
      <c r="L10" s="7">
        <f t="shared" si="2"/>
        <v>0.67070575805083765</v>
      </c>
      <c r="M10" s="8">
        <v>658.96774193548379</v>
      </c>
      <c r="N10" s="8">
        <v>676.35714285714289</v>
      </c>
      <c r="O10" s="7">
        <f t="shared" si="3"/>
        <v>2.6388850037763475E-2</v>
      </c>
      <c r="P10" s="9">
        <f t="shared" si="4"/>
        <v>0.61242431337856484</v>
      </c>
      <c r="Q10" s="10">
        <v>579659.61261281162</v>
      </c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4">
        <v>46054</v>
      </c>
      <c r="B11" s="5" t="s">
        <v>2</v>
      </c>
      <c r="C11" s="6">
        <v>116</v>
      </c>
      <c r="D11" s="6">
        <v>805</v>
      </c>
      <c r="E11" s="6">
        <v>735</v>
      </c>
      <c r="F11" s="7">
        <f t="shared" si="0"/>
        <v>0.91304347826086951</v>
      </c>
      <c r="G11" s="6">
        <v>717</v>
      </c>
      <c r="H11" s="6">
        <v>675</v>
      </c>
      <c r="I11" s="7">
        <f t="shared" si="1"/>
        <v>0.94142259414225937</v>
      </c>
      <c r="J11" s="8">
        <v>1908.6274432349071</v>
      </c>
      <c r="K11" s="8">
        <v>1249.5</v>
      </c>
      <c r="L11" s="7">
        <f t="shared" si="2"/>
        <v>0.65465893012742138</v>
      </c>
      <c r="M11" s="8">
        <v>1247.741935483871</v>
      </c>
      <c r="N11" s="8">
        <v>1255.1785714285711</v>
      </c>
      <c r="O11" s="7">
        <f t="shared" si="3"/>
        <v>5.960075343477352E-3</v>
      </c>
      <c r="P11" s="9">
        <f t="shared" si="4"/>
        <v>0.60293281465516202</v>
      </c>
      <c r="Q11" s="10">
        <v>1054710.372676275</v>
      </c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4">
        <v>46054</v>
      </c>
      <c r="B12" s="5" t="s">
        <v>3</v>
      </c>
      <c r="C12" s="6">
        <v>67</v>
      </c>
      <c r="D12" s="6">
        <v>536</v>
      </c>
      <c r="E12" s="6">
        <v>533</v>
      </c>
      <c r="F12" s="7">
        <f t="shared" si="0"/>
        <v>0.99440298507462688</v>
      </c>
      <c r="G12" s="6">
        <v>431</v>
      </c>
      <c r="H12" s="6">
        <v>423</v>
      </c>
      <c r="I12" s="7">
        <f t="shared" si="1"/>
        <v>0.9814385150812065</v>
      </c>
      <c r="J12" s="8">
        <v>722.84083288387194</v>
      </c>
      <c r="K12" s="8">
        <v>501.46428571428498</v>
      </c>
      <c r="L12" s="7">
        <f t="shared" si="2"/>
        <v>0.69374094946134257</v>
      </c>
      <c r="M12" s="8">
        <v>472.54838709677432</v>
      </c>
      <c r="N12" s="8">
        <v>501.46428571428498</v>
      </c>
      <c r="O12" s="7">
        <f t="shared" si="3"/>
        <v>6.1191402631089513E-2</v>
      </c>
      <c r="P12" s="9">
        <f t="shared" si="4"/>
        <v>0.65262725950073786</v>
      </c>
      <c r="Q12" s="10">
        <v>458176.96753249242</v>
      </c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4">
        <v>46054</v>
      </c>
      <c r="B13" s="5" t="s">
        <v>4</v>
      </c>
      <c r="C13" s="6">
        <v>35</v>
      </c>
      <c r="D13" s="6">
        <v>280</v>
      </c>
      <c r="E13" s="6">
        <v>206</v>
      </c>
      <c r="F13" s="7">
        <f t="shared" si="0"/>
        <v>0.73571428571428577</v>
      </c>
      <c r="G13" s="6">
        <v>255</v>
      </c>
      <c r="H13" s="6">
        <v>231</v>
      </c>
      <c r="I13" s="7">
        <f t="shared" si="1"/>
        <v>0.90588235294117647</v>
      </c>
      <c r="J13" s="8">
        <v>213.75837859600881</v>
      </c>
      <c r="K13" s="8">
        <v>137.89285714285711</v>
      </c>
      <c r="L13" s="7">
        <f t="shared" si="2"/>
        <v>0.64508749574428037</v>
      </c>
      <c r="M13" s="8">
        <v>139.74193548387089</v>
      </c>
      <c r="N13" s="8">
        <v>140.6071428571428</v>
      </c>
      <c r="O13" s="7">
        <f t="shared" si="3"/>
        <v>6.1914655058701211E-3</v>
      </c>
      <c r="P13" s="9">
        <f t="shared" si="4"/>
        <v>0.56415622097940255</v>
      </c>
      <c r="Q13" s="10">
        <v>96524.999999999956</v>
      </c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4">
        <v>46082</v>
      </c>
      <c r="B14" s="5" t="s">
        <v>21</v>
      </c>
      <c r="C14" s="6">
        <v>65</v>
      </c>
      <c r="D14" s="6">
        <v>449</v>
      </c>
      <c r="E14" s="6">
        <v>383</v>
      </c>
      <c r="F14" s="7">
        <f t="shared" si="0"/>
        <v>0.85300668151447656</v>
      </c>
      <c r="G14" s="6">
        <v>381</v>
      </c>
      <c r="H14" s="6">
        <v>346</v>
      </c>
      <c r="I14" s="7">
        <f t="shared" si="1"/>
        <v>0.90813648293963256</v>
      </c>
      <c r="J14" s="8">
        <v>1175.462074761273</v>
      </c>
      <c r="K14" s="8">
        <v>810.12903225806485</v>
      </c>
      <c r="L14" s="7">
        <f t="shared" si="2"/>
        <v>0.68920048519863608</v>
      </c>
      <c r="M14" s="8">
        <v>784.42857142857099</v>
      </c>
      <c r="N14" s="8">
        <v>827.67741935483923</v>
      </c>
      <c r="O14" s="7">
        <f t="shared" si="3"/>
        <v>5.5134207882694929E-2</v>
      </c>
      <c r="P14" s="9">
        <f t="shared" si="4"/>
        <v>0.60998884475227588</v>
      </c>
      <c r="Q14" s="10">
        <v>765962.99235543341</v>
      </c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4">
        <v>46082</v>
      </c>
      <c r="B15" s="5" t="s">
        <v>22</v>
      </c>
      <c r="C15" s="6">
        <v>75</v>
      </c>
      <c r="D15" s="6">
        <v>530</v>
      </c>
      <c r="E15" s="6">
        <v>422</v>
      </c>
      <c r="F15" s="7">
        <f t="shared" si="0"/>
        <v>0.79622641509433967</v>
      </c>
      <c r="G15" s="6">
        <v>430</v>
      </c>
      <c r="H15" s="6">
        <v>417</v>
      </c>
      <c r="I15" s="7">
        <f t="shared" si="1"/>
        <v>0.96976744186046515</v>
      </c>
      <c r="J15" s="8">
        <v>1463.6012029034471</v>
      </c>
      <c r="K15" s="8">
        <v>948.96774193548367</v>
      </c>
      <c r="L15" s="7">
        <f t="shared" si="2"/>
        <v>0.64837862940598212</v>
      </c>
      <c r="M15" s="8">
        <v>976.71428571428567</v>
      </c>
      <c r="N15" s="8">
        <v>966.51612903225771</v>
      </c>
      <c r="O15" s="7">
        <f t="shared" si="3"/>
        <v>-1.0441289567675252E-2</v>
      </c>
      <c r="P15" s="9">
        <f t="shared" si="4"/>
        <v>0.58619802062944215</v>
      </c>
      <c r="Q15" s="10">
        <v>735449.99999999977</v>
      </c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4">
        <v>46082</v>
      </c>
      <c r="B16" s="5" t="s">
        <v>1</v>
      </c>
      <c r="C16" s="6">
        <v>61</v>
      </c>
      <c r="D16" s="6">
        <v>427</v>
      </c>
      <c r="E16" s="6">
        <v>389</v>
      </c>
      <c r="F16" s="7">
        <f t="shared" si="0"/>
        <v>0.91100702576112413</v>
      </c>
      <c r="G16" s="6">
        <v>285</v>
      </c>
      <c r="H16" s="6">
        <v>269</v>
      </c>
      <c r="I16" s="7">
        <f t="shared" si="1"/>
        <v>0.94385964912280707</v>
      </c>
      <c r="J16" s="8">
        <v>1013.517609352986</v>
      </c>
      <c r="K16" s="8">
        <v>679.58064516129048</v>
      </c>
      <c r="L16" s="7">
        <f t="shared" si="2"/>
        <v>0.67051686018077594</v>
      </c>
      <c r="M16" s="8">
        <v>676.35714285714289</v>
      </c>
      <c r="N16" s="8">
        <v>679.58064516129048</v>
      </c>
      <c r="O16" s="7">
        <f t="shared" si="3"/>
        <v>4.7659765823282515E-3</v>
      </c>
      <c r="P16" s="9">
        <f t="shared" si="4"/>
        <v>0.60848836135372397</v>
      </c>
      <c r="Q16" s="10">
        <v>640951.21543194517</v>
      </c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4">
        <v>46082</v>
      </c>
      <c r="B17" s="5" t="s">
        <v>2</v>
      </c>
      <c r="C17" s="6">
        <v>115</v>
      </c>
      <c r="D17" s="6">
        <v>807</v>
      </c>
      <c r="E17" s="6">
        <v>718</v>
      </c>
      <c r="F17" s="7">
        <f t="shared" si="0"/>
        <v>0.88971499380421315</v>
      </c>
      <c r="G17" s="6">
        <v>760</v>
      </c>
      <c r="H17" s="6">
        <v>705</v>
      </c>
      <c r="I17" s="7">
        <f t="shared" si="1"/>
        <v>0.92763157894736847</v>
      </c>
      <c r="J17" s="8">
        <v>1880.8784655565901</v>
      </c>
      <c r="K17" s="8">
        <v>1151.225806451615</v>
      </c>
      <c r="L17" s="7">
        <f t="shared" si="2"/>
        <v>0.61206815194778885</v>
      </c>
      <c r="M17" s="8">
        <v>1255.1785714285711</v>
      </c>
      <c r="N17" s="8">
        <v>1156.129032258066</v>
      </c>
      <c r="O17" s="7">
        <f t="shared" si="3"/>
        <v>-7.8912707263455506E-2</v>
      </c>
      <c r="P17" s="9">
        <f t="shared" si="4"/>
        <v>0.55986082017333627</v>
      </c>
      <c r="Q17" s="10">
        <v>892200.00000000128</v>
      </c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4">
        <v>46082</v>
      </c>
      <c r="B18" s="5" t="s">
        <v>3</v>
      </c>
      <c r="C18" s="6">
        <v>67</v>
      </c>
      <c r="D18" s="6">
        <v>482</v>
      </c>
      <c r="E18" s="6">
        <v>472</v>
      </c>
      <c r="F18" s="7">
        <f t="shared" si="0"/>
        <v>0.97925311203319498</v>
      </c>
      <c r="G18" s="6">
        <v>452</v>
      </c>
      <c r="H18" s="6">
        <v>429</v>
      </c>
      <c r="I18" s="7">
        <f t="shared" si="1"/>
        <v>0.94911504424778759</v>
      </c>
      <c r="J18" s="8">
        <v>751.44158585517278</v>
      </c>
      <c r="K18" s="8">
        <v>489.19354838709711</v>
      </c>
      <c r="L18" s="7">
        <f t="shared" si="2"/>
        <v>0.6510067550099371</v>
      </c>
      <c r="M18" s="8">
        <v>501.46428571428498</v>
      </c>
      <c r="N18" s="8">
        <v>489.19354838709711</v>
      </c>
      <c r="O18" s="7">
        <f t="shared" si="3"/>
        <v>-2.4469813058988744E-2</v>
      </c>
      <c r="P18" s="9">
        <f t="shared" si="4"/>
        <v>0.60590163885565684</v>
      </c>
      <c r="Q18" s="10">
        <v>459424.91766230209</v>
      </c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25">
      <c r="A19" s="4">
        <v>46082</v>
      </c>
      <c r="B19" s="5" t="s">
        <v>4</v>
      </c>
      <c r="C19" s="6">
        <v>34</v>
      </c>
      <c r="D19" s="6">
        <v>243</v>
      </c>
      <c r="E19" s="6">
        <v>184</v>
      </c>
      <c r="F19" s="7">
        <f t="shared" si="0"/>
        <v>0.75720164609053497</v>
      </c>
      <c r="G19" s="6">
        <v>266</v>
      </c>
      <c r="H19" s="6">
        <v>229</v>
      </c>
      <c r="I19" s="7">
        <f t="shared" si="1"/>
        <v>0.86090225563909772</v>
      </c>
      <c r="J19" s="8">
        <v>210.69906157053049</v>
      </c>
      <c r="K19" s="8">
        <v>133.19354838709691</v>
      </c>
      <c r="L19" s="7">
        <f t="shared" si="2"/>
        <v>0.63215064839057677</v>
      </c>
      <c r="M19" s="8">
        <v>140.6071428571428</v>
      </c>
      <c r="N19" s="8">
        <v>135.45161290322599</v>
      </c>
      <c r="O19" s="7">
        <f t="shared" si="3"/>
        <v>-3.6666202364661109E-2</v>
      </c>
      <c r="P19" s="9">
        <f t="shared" si="4"/>
        <v>0.54089198716889131</v>
      </c>
      <c r="Q19" s="10">
        <v>103225.0000000001</v>
      </c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4">
        <v>46113</v>
      </c>
      <c r="B20" s="5" t="s">
        <v>21</v>
      </c>
      <c r="C20" s="6">
        <v>65</v>
      </c>
      <c r="D20" s="6">
        <v>498</v>
      </c>
      <c r="E20" s="6">
        <v>465</v>
      </c>
      <c r="F20" s="7">
        <f t="shared" si="0"/>
        <v>0.9337349397590361</v>
      </c>
      <c r="G20" s="6">
        <v>382</v>
      </c>
      <c r="H20" s="6">
        <v>357</v>
      </c>
      <c r="I20" s="7">
        <f t="shared" si="1"/>
        <v>0.93455497382198949</v>
      </c>
      <c r="J20" s="8">
        <v>1263.650323373088</v>
      </c>
      <c r="K20" s="8">
        <v>735.2666666666679</v>
      </c>
      <c r="L20" s="7">
        <f t="shared" si="2"/>
        <v>0.58185927947535787</v>
      </c>
      <c r="M20" s="8">
        <v>827.67741935483923</v>
      </c>
      <c r="N20" s="8">
        <v>740.06666666666797</v>
      </c>
      <c r="O20" s="7">
        <f t="shared" si="3"/>
        <v>-0.10585132642190768</v>
      </c>
      <c r="P20" s="9">
        <f t="shared" si="4"/>
        <v>0.55088690063025114</v>
      </c>
      <c r="Q20" s="10">
        <v>569831.66666666768</v>
      </c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4">
        <v>46113</v>
      </c>
      <c r="B21" s="5" t="s">
        <v>22</v>
      </c>
      <c r="C21" s="6">
        <v>75</v>
      </c>
      <c r="D21" s="6">
        <v>585</v>
      </c>
      <c r="E21" s="6">
        <v>538</v>
      </c>
      <c r="F21" s="7">
        <f t="shared" si="0"/>
        <v>0.91965811965811961</v>
      </c>
      <c r="G21" s="6">
        <v>438</v>
      </c>
      <c r="H21" s="6">
        <v>427</v>
      </c>
      <c r="I21" s="7">
        <f t="shared" si="1"/>
        <v>0.97488584474885842</v>
      </c>
      <c r="J21" s="8">
        <v>1475.6212872750971</v>
      </c>
      <c r="K21" s="8">
        <v>926.40000000000214</v>
      </c>
      <c r="L21" s="7">
        <f t="shared" si="2"/>
        <v>0.6278033584827889</v>
      </c>
      <c r="M21" s="8">
        <v>966.51612903225771</v>
      </c>
      <c r="N21" s="8">
        <v>931.23333333333551</v>
      </c>
      <c r="O21" s="7">
        <f t="shared" si="3"/>
        <v>-3.6505128718596506E-2</v>
      </c>
      <c r="P21" s="9">
        <f t="shared" si="4"/>
        <v>0.59227507242525945</v>
      </c>
      <c r="Q21" s="10">
        <v>717960.00000000163</v>
      </c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4">
        <v>46113</v>
      </c>
      <c r="B22" s="5" t="s">
        <v>1</v>
      </c>
      <c r="C22" s="6">
        <v>62</v>
      </c>
      <c r="D22" s="6">
        <v>477</v>
      </c>
      <c r="E22" s="6">
        <v>443</v>
      </c>
      <c r="F22" s="7">
        <f t="shared" si="0"/>
        <v>0.92872117400419285</v>
      </c>
      <c r="G22" s="6">
        <v>290</v>
      </c>
      <c r="H22" s="6">
        <v>279</v>
      </c>
      <c r="I22" s="7">
        <f t="shared" si="1"/>
        <v>0.96206896551724141</v>
      </c>
      <c r="J22" s="8">
        <v>1037.544678560326</v>
      </c>
      <c r="K22" s="8">
        <v>617.63333333333537</v>
      </c>
      <c r="L22" s="7">
        <f t="shared" si="2"/>
        <v>0.5952836018496569</v>
      </c>
      <c r="M22" s="8">
        <v>679.58064516129048</v>
      </c>
      <c r="N22" s="8">
        <v>617.63333333333537</v>
      </c>
      <c r="O22" s="7">
        <f t="shared" si="3"/>
        <v>-9.1155203240452259E-2</v>
      </c>
      <c r="P22" s="9">
        <f t="shared" si="4"/>
        <v>0.56538587731720613</v>
      </c>
      <c r="Q22" s="10">
        <v>478665.83333333489</v>
      </c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4">
        <v>46113</v>
      </c>
      <c r="B23" s="5" t="s">
        <v>2</v>
      </c>
      <c r="C23" s="6">
        <v>117</v>
      </c>
      <c r="D23" s="6">
        <v>888</v>
      </c>
      <c r="E23" s="6">
        <v>797</v>
      </c>
      <c r="F23" s="7">
        <f t="shared" si="0"/>
        <v>0.89752252252252251</v>
      </c>
      <c r="G23" s="6">
        <v>782</v>
      </c>
      <c r="H23" s="6">
        <v>752</v>
      </c>
      <c r="I23" s="7">
        <f t="shared" si="1"/>
        <v>0.96163682864450128</v>
      </c>
      <c r="J23" s="8">
        <v>1765.111372269527</v>
      </c>
      <c r="K23" s="8">
        <v>1199.5000000000041</v>
      </c>
      <c r="L23" s="7">
        <f t="shared" si="2"/>
        <v>0.67956051886840607</v>
      </c>
      <c r="M23" s="8">
        <v>1156.129032258066</v>
      </c>
      <c r="N23" s="8">
        <v>1201.433333333337</v>
      </c>
      <c r="O23" s="7">
        <f t="shared" si="3"/>
        <v>3.9186197916668539E-2</v>
      </c>
      <c r="P23" s="9">
        <f t="shared" si="4"/>
        <v>0.62268031662261292</v>
      </c>
      <c r="Q23" s="10">
        <v>1157702.811672681</v>
      </c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4">
        <v>46113</v>
      </c>
      <c r="B24" s="5" t="s">
        <v>3</v>
      </c>
      <c r="C24" s="6">
        <v>69</v>
      </c>
      <c r="D24" s="6">
        <v>514</v>
      </c>
      <c r="E24" s="6">
        <v>513</v>
      </c>
      <c r="F24" s="7">
        <f t="shared" si="0"/>
        <v>0.99805447470817121</v>
      </c>
      <c r="G24" s="6">
        <v>464</v>
      </c>
      <c r="H24" s="6">
        <v>454</v>
      </c>
      <c r="I24" s="7">
        <f t="shared" si="1"/>
        <v>0.97844827586206895</v>
      </c>
      <c r="J24" s="8">
        <v>746.87259934339704</v>
      </c>
      <c r="K24" s="8">
        <v>499.23333333333488</v>
      </c>
      <c r="L24" s="7">
        <f t="shared" si="2"/>
        <v>0.66843171616180475</v>
      </c>
      <c r="M24" s="8">
        <v>489.19354838709711</v>
      </c>
      <c r="N24" s="8">
        <v>499.30000000000149</v>
      </c>
      <c r="O24" s="7">
        <f t="shared" si="3"/>
        <v>2.0659413122323479E-2</v>
      </c>
      <c r="P24" s="9">
        <f t="shared" si="4"/>
        <v>0.63343619410895546</v>
      </c>
      <c r="Q24" s="10">
        <v>490160.31709044252</v>
      </c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4">
        <v>46113</v>
      </c>
      <c r="B25" s="5" t="s">
        <v>4</v>
      </c>
      <c r="C25" s="6">
        <v>37</v>
      </c>
      <c r="D25" s="6">
        <v>275</v>
      </c>
      <c r="E25" s="6">
        <v>216</v>
      </c>
      <c r="F25" s="7">
        <f t="shared" si="0"/>
        <v>0.78545454545454541</v>
      </c>
      <c r="G25" s="6">
        <v>268</v>
      </c>
      <c r="H25" s="6">
        <v>251</v>
      </c>
      <c r="I25" s="7">
        <f t="shared" si="1"/>
        <v>0.93656716417910446</v>
      </c>
      <c r="J25" s="8">
        <v>206.79973917856421</v>
      </c>
      <c r="K25" s="8">
        <v>122.2999999999999</v>
      </c>
      <c r="L25" s="7">
        <f t="shared" si="2"/>
        <v>0.59139339578372585</v>
      </c>
      <c r="M25" s="8">
        <v>135.45161290322599</v>
      </c>
      <c r="N25" s="8">
        <v>124.59999999999989</v>
      </c>
      <c r="O25" s="7">
        <f t="shared" si="3"/>
        <v>-8.0114312931652429E-2</v>
      </c>
      <c r="P25" s="9">
        <f t="shared" si="4"/>
        <v>0.53891908315434878</v>
      </c>
      <c r="Q25" s="10">
        <v>94782.499999999884</v>
      </c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4">
        <v>46143</v>
      </c>
      <c r="B26" s="5" t="s">
        <v>21</v>
      </c>
      <c r="C26" s="6">
        <v>69</v>
      </c>
      <c r="D26" s="6">
        <v>522</v>
      </c>
      <c r="E26" s="6">
        <v>459</v>
      </c>
      <c r="F26" s="7">
        <f t="shared" si="0"/>
        <v>0.87931034482758619</v>
      </c>
      <c r="G26" s="6">
        <v>366</v>
      </c>
      <c r="H26" s="6">
        <v>341</v>
      </c>
      <c r="I26" s="7">
        <f t="shared" si="1"/>
        <v>0.93169398907103829</v>
      </c>
      <c r="J26" s="8">
        <v>790.06666666666797</v>
      </c>
      <c r="K26" s="8">
        <v>710.19354838709728</v>
      </c>
      <c r="L26" s="7">
        <f t="shared" si="2"/>
        <v>0.89890331835342518</v>
      </c>
      <c r="M26" s="8">
        <v>740.06666666666797</v>
      </c>
      <c r="N26" s="8">
        <v>723.5483870967746</v>
      </c>
      <c r="O26" s="7">
        <f t="shared" si="3"/>
        <v>-2.2319988608990187E-2</v>
      </c>
      <c r="P26" s="9">
        <f t="shared" si="4"/>
        <v>0.67385621326334866</v>
      </c>
      <c r="Q26" s="10">
        <v>741780.91956029471</v>
      </c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4">
        <v>46143</v>
      </c>
      <c r="B27" s="5" t="s">
        <v>22</v>
      </c>
      <c r="C27" s="6">
        <v>75</v>
      </c>
      <c r="D27" s="6">
        <v>580</v>
      </c>
      <c r="E27" s="6">
        <v>554</v>
      </c>
      <c r="F27" s="7">
        <f t="shared" si="0"/>
        <v>0.95517241379310347</v>
      </c>
      <c r="G27" s="6">
        <v>424</v>
      </c>
      <c r="H27" s="6">
        <v>410</v>
      </c>
      <c r="I27" s="7">
        <f t="shared" si="1"/>
        <v>0.96698113207547165</v>
      </c>
      <c r="J27" s="8">
        <v>981.23333333333551</v>
      </c>
      <c r="K27" s="8">
        <v>867.80645161290374</v>
      </c>
      <c r="L27" s="7">
        <f t="shared" si="2"/>
        <v>0.88440376221717754</v>
      </c>
      <c r="M27" s="8">
        <v>931.23333333333551</v>
      </c>
      <c r="N27" s="8">
        <v>868.41935483871021</v>
      </c>
      <c r="O27" s="7">
        <f t="shared" si="3"/>
        <v>-6.7452459277615881E-2</v>
      </c>
      <c r="P27" s="9">
        <f t="shared" si="4"/>
        <v>0.67769934704444157</v>
      </c>
      <c r="Q27" s="10">
        <v>911573.3917094788</v>
      </c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4">
        <v>46143</v>
      </c>
      <c r="B28" s="5" t="s">
        <v>1</v>
      </c>
      <c r="C28" s="6">
        <v>63</v>
      </c>
      <c r="D28" s="6">
        <v>483</v>
      </c>
      <c r="E28" s="6">
        <v>452</v>
      </c>
      <c r="F28" s="7">
        <f t="shared" si="0"/>
        <v>0.93581780538302273</v>
      </c>
      <c r="G28" s="6">
        <v>277</v>
      </c>
      <c r="H28" s="6">
        <v>264</v>
      </c>
      <c r="I28" s="7">
        <f t="shared" si="1"/>
        <v>0.95306859205776173</v>
      </c>
      <c r="J28" s="8">
        <v>667.63333333333537</v>
      </c>
      <c r="K28" s="8">
        <v>593.64516129032256</v>
      </c>
      <c r="L28" s="7">
        <f t="shared" si="2"/>
        <v>0.88917843320733048</v>
      </c>
      <c r="M28" s="8">
        <v>617.63333333333537</v>
      </c>
      <c r="N28" s="8">
        <v>596.9677419354839</v>
      </c>
      <c r="O28" s="7">
        <f t="shared" si="3"/>
        <v>-3.3459320089348703E-2</v>
      </c>
      <c r="P28" s="9">
        <f t="shared" si="4"/>
        <v>0.68148744042212239</v>
      </c>
      <c r="Q28" s="10">
        <v>627070.66830441589</v>
      </c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4">
        <v>46143</v>
      </c>
      <c r="B29" s="5" t="s">
        <v>2</v>
      </c>
      <c r="C29" s="6">
        <v>117</v>
      </c>
      <c r="D29" s="6">
        <v>903</v>
      </c>
      <c r="E29" s="6">
        <v>787</v>
      </c>
      <c r="F29" s="7">
        <f t="shared" si="0"/>
        <v>0.87153931339977853</v>
      </c>
      <c r="G29" s="6">
        <v>737</v>
      </c>
      <c r="H29" s="6">
        <v>698</v>
      </c>
      <c r="I29" s="7">
        <f t="shared" si="1"/>
        <v>0.94708276797829039</v>
      </c>
      <c r="J29" s="8">
        <v>1251.433333333337</v>
      </c>
      <c r="K29" s="8">
        <v>1107.0645161290361</v>
      </c>
      <c r="L29" s="7">
        <f t="shared" si="2"/>
        <v>0.88463722888077623</v>
      </c>
      <c r="M29" s="8">
        <v>1201.433333333337</v>
      </c>
      <c r="N29" s="8">
        <v>1108.870967741939</v>
      </c>
      <c r="O29" s="7">
        <f t="shared" si="3"/>
        <v>-7.7043280740835454E-2</v>
      </c>
      <c r="P29" s="9">
        <f t="shared" si="4"/>
        <v>0.65786379892760205</v>
      </c>
      <c r="Q29" s="10">
        <v>1128861.3857698219</v>
      </c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4">
        <v>46143</v>
      </c>
      <c r="B30" s="5" t="s">
        <v>3</v>
      </c>
      <c r="C30" s="6">
        <v>67</v>
      </c>
      <c r="D30" s="6">
        <v>523</v>
      </c>
      <c r="E30" s="6">
        <v>515</v>
      </c>
      <c r="F30" s="7">
        <f t="shared" si="0"/>
        <v>0.98470363288718932</v>
      </c>
      <c r="G30" s="6">
        <v>446</v>
      </c>
      <c r="H30" s="6">
        <v>428</v>
      </c>
      <c r="I30" s="7">
        <f t="shared" si="1"/>
        <v>0.95964125560538116</v>
      </c>
      <c r="J30" s="8">
        <v>549.30000000000155</v>
      </c>
      <c r="K30" s="8">
        <v>500.25806451612908</v>
      </c>
      <c r="L30" s="7">
        <f t="shared" si="2"/>
        <v>0.91071921448412096</v>
      </c>
      <c r="M30" s="8">
        <v>499.30000000000149</v>
      </c>
      <c r="N30" s="8">
        <v>500.25806451612908</v>
      </c>
      <c r="O30" s="7">
        <f t="shared" si="3"/>
        <v>1.918815373778469E-3</v>
      </c>
      <c r="P30" s="9">
        <f t="shared" si="4"/>
        <v>0.70684728774731065</v>
      </c>
      <c r="Q30" s="10">
        <v>548089.38691926491</v>
      </c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4">
        <v>46143</v>
      </c>
      <c r="B31" s="5" t="s">
        <v>4</v>
      </c>
      <c r="C31" s="6">
        <v>42</v>
      </c>
      <c r="D31" s="6">
        <v>308</v>
      </c>
      <c r="E31" s="6">
        <v>250</v>
      </c>
      <c r="F31" s="7">
        <f t="shared" si="0"/>
        <v>0.81168831168831168</v>
      </c>
      <c r="G31" s="6">
        <v>265</v>
      </c>
      <c r="H31" s="6">
        <v>240</v>
      </c>
      <c r="I31" s="7">
        <f t="shared" si="1"/>
        <v>0.90566037735849059</v>
      </c>
      <c r="J31" s="8">
        <v>174.59999999999991</v>
      </c>
      <c r="K31" s="8">
        <v>139.00000000000031</v>
      </c>
      <c r="L31" s="7">
        <f t="shared" si="2"/>
        <v>0.79610538373425188</v>
      </c>
      <c r="M31" s="8">
        <v>124.59999999999989</v>
      </c>
      <c r="N31" s="8">
        <v>139.48387096774221</v>
      </c>
      <c r="O31" s="7">
        <f t="shared" si="3"/>
        <v>0.11945321803966552</v>
      </c>
      <c r="P31" s="9">
        <f t="shared" si="4"/>
        <v>0.65666852990977387</v>
      </c>
      <c r="Q31" s="10">
        <v>141479.23476906109</v>
      </c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4">
        <v>46174</v>
      </c>
      <c r="B32" s="5" t="s">
        <v>2</v>
      </c>
      <c r="C32" s="6">
        <v>120</v>
      </c>
      <c r="D32" s="6">
        <v>948</v>
      </c>
      <c r="E32" s="6">
        <v>878</v>
      </c>
      <c r="F32" s="7">
        <f t="shared" si="0"/>
        <v>0.92616033755274263</v>
      </c>
      <c r="G32" s="6">
        <v>785</v>
      </c>
      <c r="H32" s="6">
        <v>764</v>
      </c>
      <c r="I32" s="7">
        <f t="shared" si="1"/>
        <v>0.97324840764331211</v>
      </c>
      <c r="J32" s="8">
        <v>1158.870967741939</v>
      </c>
      <c r="K32" s="8">
        <v>1104.166666666669</v>
      </c>
      <c r="L32" s="7">
        <f t="shared" si="2"/>
        <v>0.95279517513337886</v>
      </c>
      <c r="M32" s="8">
        <v>1108.870967741939</v>
      </c>
      <c r="N32" s="8">
        <v>1106.9333333333359</v>
      </c>
      <c r="O32" s="7">
        <f t="shared" si="3"/>
        <v>-1.7473939393948051E-3</v>
      </c>
      <c r="P32" s="9">
        <f t="shared" si="4"/>
        <v>0.71527761535557333</v>
      </c>
      <c r="Q32" s="10">
        <v>1184678.5504326711</v>
      </c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4">
        <v>46174</v>
      </c>
      <c r="B33" s="5" t="s">
        <v>22</v>
      </c>
      <c r="C33" s="6">
        <v>76</v>
      </c>
      <c r="D33" s="6">
        <v>608</v>
      </c>
      <c r="E33" s="6">
        <v>591</v>
      </c>
      <c r="F33" s="7">
        <f t="shared" si="0"/>
        <v>0.97203947368421051</v>
      </c>
      <c r="G33" s="6">
        <v>437</v>
      </c>
      <c r="H33" s="6">
        <v>418</v>
      </c>
      <c r="I33" s="7">
        <f t="shared" si="1"/>
        <v>0.95652173913043481</v>
      </c>
      <c r="J33" s="8">
        <v>918.41935483871021</v>
      </c>
      <c r="K33" s="8">
        <v>834.20000000000175</v>
      </c>
      <c r="L33" s="7">
        <f t="shared" si="2"/>
        <v>0.90829967335183304</v>
      </c>
      <c r="M33" s="8">
        <v>868.41935483871021</v>
      </c>
      <c r="N33" s="8">
        <v>834.86666666666849</v>
      </c>
      <c r="O33" s="7">
        <f t="shared" si="3"/>
        <v>-3.8636504339857082E-2</v>
      </c>
      <c r="P33" s="9">
        <f t="shared" si="4"/>
        <v>0.69318211542341757</v>
      </c>
      <c r="Q33" s="10">
        <v>867378.78102932416</v>
      </c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4">
        <v>46174</v>
      </c>
      <c r="B34" s="5" t="s">
        <v>3</v>
      </c>
      <c r="C34" s="6">
        <v>67</v>
      </c>
      <c r="D34" s="6">
        <v>536</v>
      </c>
      <c r="E34" s="6">
        <v>524</v>
      </c>
      <c r="F34" s="7">
        <f t="shared" ref="F34:F52" si="5">IFERROR(E34/D34,"")</f>
        <v>0.97761194029850751</v>
      </c>
      <c r="G34" s="6">
        <v>459</v>
      </c>
      <c r="H34" s="6">
        <v>438</v>
      </c>
      <c r="I34" s="7">
        <f t="shared" ref="I34:I52" si="6">IFERROR(H34/G34,"")</f>
        <v>0.95424836601307195</v>
      </c>
      <c r="J34" s="8">
        <v>550.25806451612914</v>
      </c>
      <c r="K34" s="8">
        <v>507.16666666666788</v>
      </c>
      <c r="L34" s="7">
        <f t="shared" ref="L34:L52" si="7">IFERROR(K34/J34,"")</f>
        <v>0.92168874819244351</v>
      </c>
      <c r="M34" s="8">
        <v>500.25806451612908</v>
      </c>
      <c r="N34" s="8">
        <v>507.16666666666788</v>
      </c>
      <c r="O34" s="7">
        <f t="shared" ref="O34:O52" si="8">IFERROR((N34-M34)/M34,"")</f>
        <v>1.3810076519648098E-2</v>
      </c>
      <c r="P34" s="9">
        <f t="shared" ref="P34:P52" si="9">IFERROR((F34*0.15)+(I34*0.25)+(L34*0.35)+(O34*25%),0)</f>
        <v>0.71124746354531132</v>
      </c>
      <c r="Q34" s="10">
        <v>541081.50789209688</v>
      </c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4">
        <v>46174</v>
      </c>
      <c r="B35" s="5" t="s">
        <v>21</v>
      </c>
      <c r="C35" s="6">
        <v>69</v>
      </c>
      <c r="D35" s="6">
        <v>552</v>
      </c>
      <c r="E35" s="6">
        <v>470</v>
      </c>
      <c r="F35" s="7">
        <f t="shared" si="5"/>
        <v>0.85144927536231885</v>
      </c>
      <c r="G35" s="6">
        <v>394</v>
      </c>
      <c r="H35" s="6">
        <v>364</v>
      </c>
      <c r="I35" s="7">
        <f t="shared" si="6"/>
        <v>0.92385786802030456</v>
      </c>
      <c r="J35" s="8">
        <v>773.5483870967746</v>
      </c>
      <c r="K35" s="8">
        <v>701.99999999999955</v>
      </c>
      <c r="L35" s="7">
        <f t="shared" si="7"/>
        <v>0.90750625521267614</v>
      </c>
      <c r="M35" s="8">
        <v>723.5483870967746</v>
      </c>
      <c r="N35" s="8">
        <v>706.99999999999955</v>
      </c>
      <c r="O35" s="7">
        <f t="shared" si="8"/>
        <v>-2.2871154703523251E-2</v>
      </c>
      <c r="P35" s="9">
        <f t="shared" si="9"/>
        <v>0.67059125895797977</v>
      </c>
      <c r="Q35" s="10">
        <v>706132.5956827522</v>
      </c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4">
        <v>46174</v>
      </c>
      <c r="B36" s="5" t="s">
        <v>1</v>
      </c>
      <c r="C36" s="6">
        <v>64</v>
      </c>
      <c r="D36" s="6">
        <v>511</v>
      </c>
      <c r="E36" s="6">
        <v>397</v>
      </c>
      <c r="F36" s="7">
        <f t="shared" si="5"/>
        <v>0.77690802348336596</v>
      </c>
      <c r="G36" s="6">
        <v>289</v>
      </c>
      <c r="H36" s="6">
        <v>273</v>
      </c>
      <c r="I36" s="7">
        <f t="shared" si="6"/>
        <v>0.94463667820069208</v>
      </c>
      <c r="J36" s="8">
        <v>646.9677419354839</v>
      </c>
      <c r="K36" s="8">
        <v>595.80000000000086</v>
      </c>
      <c r="L36" s="7">
        <f t="shared" si="7"/>
        <v>0.92091144794575319</v>
      </c>
      <c r="M36" s="8">
        <v>596.9677419354839</v>
      </c>
      <c r="N36" s="8">
        <v>598.10000000000082</v>
      </c>
      <c r="O36" s="7">
        <f t="shared" si="8"/>
        <v>1.8966821571395475E-3</v>
      </c>
      <c r="P36" s="9">
        <f t="shared" si="9"/>
        <v>0.67548855039297639</v>
      </c>
      <c r="Q36" s="10">
        <v>603684.1174862039</v>
      </c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4">
        <v>46174</v>
      </c>
      <c r="B37" s="5" t="s">
        <v>4</v>
      </c>
      <c r="C37" s="6">
        <v>43</v>
      </c>
      <c r="D37" s="6">
        <v>345</v>
      </c>
      <c r="E37" s="6">
        <v>291</v>
      </c>
      <c r="F37" s="7">
        <f t="shared" si="5"/>
        <v>0.84347826086956523</v>
      </c>
      <c r="G37" s="6">
        <v>269</v>
      </c>
      <c r="H37" s="6">
        <v>251</v>
      </c>
      <c r="I37" s="7">
        <f t="shared" si="6"/>
        <v>0.93308550185873607</v>
      </c>
      <c r="J37" s="8">
        <v>189.48387096774221</v>
      </c>
      <c r="K37" s="8">
        <v>158.6666666666666</v>
      </c>
      <c r="L37" s="7">
        <f t="shared" si="7"/>
        <v>0.83736238792418416</v>
      </c>
      <c r="M37" s="8">
        <v>139.48387096774221</v>
      </c>
      <c r="N37" s="8">
        <v>158.83333333333329</v>
      </c>
      <c r="O37" s="7">
        <f t="shared" si="8"/>
        <v>0.13872186247301627</v>
      </c>
      <c r="P37" s="9">
        <f t="shared" si="9"/>
        <v>0.6875504159868373</v>
      </c>
      <c r="Q37" s="10">
        <v>163636.99900486719</v>
      </c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4">
        <v>46204</v>
      </c>
      <c r="B38" s="5" t="s">
        <v>2</v>
      </c>
      <c r="C38" s="6">
        <v>121</v>
      </c>
      <c r="D38" s="6">
        <v>960</v>
      </c>
      <c r="E38" s="6">
        <v>882</v>
      </c>
      <c r="F38" s="7">
        <f t="shared" si="5"/>
        <v>0.91874999999999996</v>
      </c>
      <c r="G38" s="6">
        <v>811</v>
      </c>
      <c r="H38" s="6">
        <v>776</v>
      </c>
      <c r="I38" s="7">
        <f t="shared" si="6"/>
        <v>0.95684340320591865</v>
      </c>
      <c r="J38" s="8">
        <v>1156.9333333333359</v>
      </c>
      <c r="K38" s="8">
        <v>1044.5806451612939</v>
      </c>
      <c r="L38" s="7">
        <f t="shared" si="7"/>
        <v>0.90288750013941299</v>
      </c>
      <c r="M38" s="8">
        <v>1106.9333333333359</v>
      </c>
      <c r="N38" s="8">
        <v>1047.3870967741971</v>
      </c>
      <c r="O38" s="7">
        <f t="shared" si="8"/>
        <v>-5.3793877884068926E-2</v>
      </c>
      <c r="P38" s="9">
        <f t="shared" si="9"/>
        <v>0.67958550637925697</v>
      </c>
      <c r="Q38" s="10">
        <v>1100316.8933786589</v>
      </c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4">
        <v>46204</v>
      </c>
      <c r="B39" s="5" t="s">
        <v>22</v>
      </c>
      <c r="C39" s="6">
        <v>74</v>
      </c>
      <c r="D39" s="6">
        <v>600</v>
      </c>
      <c r="E39" s="6">
        <v>576</v>
      </c>
      <c r="F39" s="7">
        <f t="shared" si="5"/>
        <v>0.96</v>
      </c>
      <c r="G39" s="6">
        <v>447</v>
      </c>
      <c r="H39" s="6">
        <v>430</v>
      </c>
      <c r="I39" s="7">
        <f t="shared" si="6"/>
        <v>0.96196868008948544</v>
      </c>
      <c r="J39" s="8">
        <v>884.86666666666849</v>
      </c>
      <c r="K39" s="8">
        <v>793.51612903225873</v>
      </c>
      <c r="L39" s="7">
        <f t="shared" si="7"/>
        <v>0.89676349999878369</v>
      </c>
      <c r="M39" s="8">
        <v>834.86666666666849</v>
      </c>
      <c r="N39" s="8">
        <v>793.58064516129105</v>
      </c>
      <c r="O39" s="7">
        <f t="shared" si="8"/>
        <v>-4.945223369645136E-2</v>
      </c>
      <c r="P39" s="9">
        <f t="shared" si="9"/>
        <v>0.68599633659783266</v>
      </c>
      <c r="Q39" s="10">
        <v>843741.19419850502</v>
      </c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4">
        <v>46204</v>
      </c>
      <c r="B40" s="5" t="s">
        <v>3</v>
      </c>
      <c r="C40" s="6">
        <v>66</v>
      </c>
      <c r="D40" s="6">
        <v>528</v>
      </c>
      <c r="E40" s="6">
        <v>512</v>
      </c>
      <c r="F40" s="7">
        <f t="shared" si="5"/>
        <v>0.96969696969696972</v>
      </c>
      <c r="G40" s="6">
        <v>460</v>
      </c>
      <c r="H40" s="6">
        <v>442</v>
      </c>
      <c r="I40" s="7">
        <f t="shared" si="6"/>
        <v>0.96086956521739131</v>
      </c>
      <c r="J40" s="8">
        <v>557.16666666666788</v>
      </c>
      <c r="K40" s="8">
        <v>474.51612903225799</v>
      </c>
      <c r="L40" s="7">
        <f t="shared" si="7"/>
        <v>0.85165922051855869</v>
      </c>
      <c r="M40" s="8">
        <v>507.16666666666788</v>
      </c>
      <c r="N40" s="8">
        <v>474.51612903225799</v>
      </c>
      <c r="O40" s="7">
        <f t="shared" si="8"/>
        <v>-6.437831935802131E-2</v>
      </c>
      <c r="P40" s="9">
        <f t="shared" si="9"/>
        <v>0.66765808410088345</v>
      </c>
      <c r="Q40" s="10">
        <v>491062.52085619979</v>
      </c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4">
        <v>46204</v>
      </c>
      <c r="B41" s="5" t="s">
        <v>1</v>
      </c>
      <c r="C41" s="6">
        <v>64</v>
      </c>
      <c r="D41" s="6">
        <v>508</v>
      </c>
      <c r="E41" s="6">
        <v>454</v>
      </c>
      <c r="F41" s="7">
        <f t="shared" si="5"/>
        <v>0.89370078740157477</v>
      </c>
      <c r="G41" s="6">
        <v>298</v>
      </c>
      <c r="H41" s="6">
        <v>284</v>
      </c>
      <c r="I41" s="7">
        <f t="shared" si="6"/>
        <v>0.95302013422818788</v>
      </c>
      <c r="J41" s="8">
        <v>648.10000000000082</v>
      </c>
      <c r="K41" s="8">
        <v>544.38709677419388</v>
      </c>
      <c r="L41" s="7">
        <f t="shared" si="7"/>
        <v>0.83997391879986605</v>
      </c>
      <c r="M41" s="8">
        <v>598.10000000000082</v>
      </c>
      <c r="N41" s="8">
        <v>549.6129032258068</v>
      </c>
      <c r="O41" s="7">
        <f t="shared" si="8"/>
        <v>-8.1068545016207902E-2</v>
      </c>
      <c r="P41" s="9">
        <f t="shared" si="9"/>
        <v>0.64603388699318431</v>
      </c>
      <c r="Q41" s="10">
        <v>545123.39384484931</v>
      </c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4">
        <v>46204</v>
      </c>
      <c r="B42" s="5" t="s">
        <v>4</v>
      </c>
      <c r="C42" s="6">
        <v>109</v>
      </c>
      <c r="D42" s="6">
        <v>866</v>
      </c>
      <c r="E42" s="6">
        <v>720</v>
      </c>
      <c r="F42" s="7">
        <f t="shared" si="5"/>
        <v>0.8314087759815243</v>
      </c>
      <c r="G42" s="6">
        <v>660</v>
      </c>
      <c r="H42" s="6">
        <v>616</v>
      </c>
      <c r="I42" s="7">
        <f t="shared" si="6"/>
        <v>0.93333333333333335</v>
      </c>
      <c r="J42" s="8">
        <v>915.83333333333292</v>
      </c>
      <c r="K42" s="8">
        <v>790.58064516129093</v>
      </c>
      <c r="L42" s="7">
        <f t="shared" si="7"/>
        <v>0.86323637324253821</v>
      </c>
      <c r="M42" s="8">
        <v>865.83333333333292</v>
      </c>
      <c r="N42" s="8">
        <v>806.03225806451655</v>
      </c>
      <c r="O42" s="7">
        <f t="shared" si="8"/>
        <v>-6.9067651898536739E-2</v>
      </c>
      <c r="P42" s="9">
        <f t="shared" si="9"/>
        <v>0.64291046739081614</v>
      </c>
      <c r="Q42" s="10">
        <v>787822.48674070672</v>
      </c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4">
        <v>46235</v>
      </c>
      <c r="B43" s="5" t="s">
        <v>2</v>
      </c>
      <c r="C43" s="6">
        <v>119</v>
      </c>
      <c r="D43" s="6">
        <v>833</v>
      </c>
      <c r="E43" s="6">
        <v>730</v>
      </c>
      <c r="F43" s="7">
        <f t="shared" si="5"/>
        <v>0.87635054021608638</v>
      </c>
      <c r="G43" s="6">
        <v>777</v>
      </c>
      <c r="H43" s="6">
        <v>735</v>
      </c>
      <c r="I43" s="7">
        <f t="shared" si="6"/>
        <v>0.94594594594594594</v>
      </c>
      <c r="J43" s="8">
        <v>1097.3870967741971</v>
      </c>
      <c r="K43" s="8">
        <v>986.45161290322949</v>
      </c>
      <c r="L43" s="7">
        <f t="shared" si="7"/>
        <v>0.89890943296393244</v>
      </c>
      <c r="M43" s="8">
        <v>1047.3870967741971</v>
      </c>
      <c r="N43" s="8">
        <v>997.45161290322926</v>
      </c>
      <c r="O43" s="7">
        <f t="shared" si="8"/>
        <v>-4.767624503372437E-2</v>
      </c>
      <c r="P43" s="9">
        <f t="shared" si="9"/>
        <v>0.67063830779784472</v>
      </c>
      <c r="Q43" s="10">
        <v>1025405.972622908</v>
      </c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4">
        <v>46235</v>
      </c>
      <c r="B44" s="5" t="s">
        <v>0</v>
      </c>
      <c r="C44" s="6">
        <v>110</v>
      </c>
      <c r="D44" s="6">
        <v>801</v>
      </c>
      <c r="E44" s="6">
        <v>695</v>
      </c>
      <c r="F44" s="7">
        <f t="shared" si="5"/>
        <v>0.86766541822721599</v>
      </c>
      <c r="G44" s="6">
        <v>690</v>
      </c>
      <c r="H44" s="6">
        <v>643</v>
      </c>
      <c r="I44" s="7">
        <f t="shared" si="6"/>
        <v>0.93188405797101448</v>
      </c>
      <c r="J44" s="8">
        <v>1051.2258064516141</v>
      </c>
      <c r="K44" s="8">
        <v>964.67741935483991</v>
      </c>
      <c r="L44" s="7">
        <f t="shared" si="7"/>
        <v>0.91766908064318164</v>
      </c>
      <c r="M44" s="8">
        <v>1001.2258064516139</v>
      </c>
      <c r="N44" s="8">
        <v>971.03225806451746</v>
      </c>
      <c r="O44" s="7">
        <f t="shared" si="8"/>
        <v>-3.015658225401089E-2</v>
      </c>
      <c r="P44" s="9">
        <f t="shared" si="9"/>
        <v>0.67676585988844684</v>
      </c>
      <c r="Q44" s="10">
        <v>1011934.151998201</v>
      </c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4">
        <v>46235</v>
      </c>
      <c r="B45" s="5" t="s">
        <v>3</v>
      </c>
      <c r="C45" s="6">
        <v>65</v>
      </c>
      <c r="D45" s="6">
        <v>492</v>
      </c>
      <c r="E45" s="6">
        <v>450</v>
      </c>
      <c r="F45" s="7">
        <f t="shared" si="5"/>
        <v>0.91463414634146345</v>
      </c>
      <c r="G45" s="6">
        <v>443</v>
      </c>
      <c r="H45" s="6">
        <v>422</v>
      </c>
      <c r="I45" s="7">
        <f t="shared" si="6"/>
        <v>0.95259593679458243</v>
      </c>
      <c r="J45" s="8">
        <v>524.51612903225805</v>
      </c>
      <c r="K45" s="8">
        <v>467.48387096774172</v>
      </c>
      <c r="L45" s="7">
        <f t="shared" si="7"/>
        <v>0.89126691266912628</v>
      </c>
      <c r="M45" s="8">
        <v>474.51612903225799</v>
      </c>
      <c r="N45" s="8">
        <v>468.51612903225782</v>
      </c>
      <c r="O45" s="7">
        <f t="shared" si="8"/>
        <v>-1.264445955132599E-2</v>
      </c>
      <c r="P45" s="9">
        <f t="shared" si="9"/>
        <v>0.68412641069622782</v>
      </c>
      <c r="Q45" s="10">
        <v>495717.99719048629</v>
      </c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4">
        <v>46235</v>
      </c>
      <c r="B46" s="5" t="s">
        <v>1</v>
      </c>
      <c r="C46" s="6">
        <v>65</v>
      </c>
      <c r="D46" s="6">
        <v>505</v>
      </c>
      <c r="E46" s="6">
        <v>430</v>
      </c>
      <c r="F46" s="7">
        <f t="shared" si="5"/>
        <v>0.85148514851485146</v>
      </c>
      <c r="G46" s="6">
        <v>281</v>
      </c>
      <c r="H46" s="6">
        <v>271</v>
      </c>
      <c r="I46" s="7">
        <f t="shared" si="6"/>
        <v>0.96441281138790036</v>
      </c>
      <c r="J46" s="8">
        <v>603.83870967741973</v>
      </c>
      <c r="K46" s="8">
        <v>541.41935483871021</v>
      </c>
      <c r="L46" s="7">
        <f t="shared" si="7"/>
        <v>0.89662909343447861</v>
      </c>
      <c r="M46" s="8">
        <v>553.83870967741973</v>
      </c>
      <c r="N46" s="8">
        <v>543.29032258064569</v>
      </c>
      <c r="O46" s="7">
        <f t="shared" si="8"/>
        <v>-1.9045954918748609E-2</v>
      </c>
      <c r="P46" s="9">
        <f t="shared" si="9"/>
        <v>0.67788466909658318</v>
      </c>
      <c r="Q46" s="10">
        <v>568880.8143058531</v>
      </c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4">
        <v>46235</v>
      </c>
      <c r="B47" s="5" t="s">
        <v>4</v>
      </c>
      <c r="C47" s="6">
        <v>110</v>
      </c>
      <c r="D47" s="6">
        <v>817</v>
      </c>
      <c r="E47" s="6">
        <v>718</v>
      </c>
      <c r="F47" s="7">
        <f t="shared" si="5"/>
        <v>0.87882496940024479</v>
      </c>
      <c r="G47" s="6">
        <v>649</v>
      </c>
      <c r="H47" s="6">
        <v>606</v>
      </c>
      <c r="I47" s="7">
        <f t="shared" si="6"/>
        <v>0.9337442218798151</v>
      </c>
      <c r="J47" s="8">
        <v>846.80645161290363</v>
      </c>
      <c r="K47" s="8">
        <v>794.45161290322653</v>
      </c>
      <c r="L47" s="7">
        <f t="shared" si="7"/>
        <v>0.93817378385585348</v>
      </c>
      <c r="M47" s="8">
        <v>796.80645161290363</v>
      </c>
      <c r="N47" s="8">
        <v>797.12903225806519</v>
      </c>
      <c r="O47" s="7">
        <f t="shared" si="8"/>
        <v>4.0484190923478894E-4</v>
      </c>
      <c r="P47" s="9">
        <f t="shared" si="9"/>
        <v>0.69372183570684787</v>
      </c>
      <c r="Q47" s="10">
        <v>854249.06848941324</v>
      </c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4">
        <v>46266</v>
      </c>
      <c r="B48" s="5" t="s">
        <v>2</v>
      </c>
      <c r="C48" s="6">
        <v>121</v>
      </c>
      <c r="D48" s="6">
        <v>896</v>
      </c>
      <c r="E48" s="6">
        <v>785</v>
      </c>
      <c r="F48" s="7">
        <f t="shared" si="5"/>
        <v>0.8761160714285714</v>
      </c>
      <c r="G48" s="6">
        <v>787</v>
      </c>
      <c r="H48" s="6">
        <v>747</v>
      </c>
      <c r="I48" s="7">
        <f t="shared" si="6"/>
        <v>0.9491740787801779</v>
      </c>
      <c r="J48" s="8">
        <v>1047.451612903229</v>
      </c>
      <c r="K48" s="8">
        <v>948.03333333333387</v>
      </c>
      <c r="L48" s="7">
        <f t="shared" si="7"/>
        <v>0.90508556352847958</v>
      </c>
      <c r="M48" s="8">
        <v>997.45161290322926</v>
      </c>
      <c r="N48" s="8">
        <v>960.23333333333392</v>
      </c>
      <c r="O48" s="7">
        <f t="shared" si="8"/>
        <v>-3.731336847665831E-2</v>
      </c>
      <c r="P48" s="9">
        <f t="shared" si="9"/>
        <v>0.6761625355251335</v>
      </c>
      <c r="Q48" s="10">
        <v>993588.16476496705</v>
      </c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4">
        <v>46266</v>
      </c>
      <c r="B49" s="5" t="s">
        <v>0</v>
      </c>
      <c r="C49" s="6">
        <v>112</v>
      </c>
      <c r="D49" s="6">
        <v>896</v>
      </c>
      <c r="E49" s="6">
        <v>816</v>
      </c>
      <c r="F49" s="7">
        <f t="shared" si="5"/>
        <v>0.9107142857142857</v>
      </c>
      <c r="G49" s="6">
        <v>682</v>
      </c>
      <c r="H49" s="6">
        <v>626</v>
      </c>
      <c r="I49" s="7">
        <f t="shared" si="6"/>
        <v>0.91788856304985333</v>
      </c>
      <c r="J49" s="8">
        <v>1021.032258064517</v>
      </c>
      <c r="K49" s="8">
        <v>997.46666666666908</v>
      </c>
      <c r="L49" s="7">
        <f t="shared" si="7"/>
        <v>0.97691983655587999</v>
      </c>
      <c r="M49" s="8">
        <v>971.03225806451746</v>
      </c>
      <c r="N49" s="8">
        <v>997.46666666666908</v>
      </c>
      <c r="O49" s="7">
        <f t="shared" si="8"/>
        <v>2.722299736451728E-2</v>
      </c>
      <c r="P49" s="9">
        <f t="shared" si="9"/>
        <v>0.71480697575529351</v>
      </c>
      <c r="Q49" s="10">
        <v>1105144.003695908</v>
      </c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4">
        <v>46266</v>
      </c>
      <c r="B50" s="5" t="s">
        <v>3</v>
      </c>
      <c r="C50" s="6">
        <v>64</v>
      </c>
      <c r="D50" s="6">
        <v>512</v>
      </c>
      <c r="E50" s="6">
        <v>489</v>
      </c>
      <c r="F50" s="7">
        <f t="shared" si="5"/>
        <v>0.955078125</v>
      </c>
      <c r="G50" s="6">
        <v>438</v>
      </c>
      <c r="H50" s="6">
        <v>415</v>
      </c>
      <c r="I50" s="7">
        <f t="shared" si="6"/>
        <v>0.94748858447488582</v>
      </c>
      <c r="J50" s="8">
        <v>518.51612903225782</v>
      </c>
      <c r="K50" s="8">
        <v>444.30000000000132</v>
      </c>
      <c r="L50" s="7">
        <f t="shared" si="7"/>
        <v>0.85686823441582971</v>
      </c>
      <c r="M50" s="8">
        <v>468.51612903225782</v>
      </c>
      <c r="N50" s="8">
        <v>445.7333333333346</v>
      </c>
      <c r="O50" s="7">
        <f t="shared" si="8"/>
        <v>-4.8627558982829819E-2</v>
      </c>
      <c r="P50" s="9">
        <f t="shared" si="9"/>
        <v>0.66788085716855428</v>
      </c>
      <c r="Q50" s="10">
        <v>459946.17050198372</v>
      </c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4">
        <v>46266</v>
      </c>
      <c r="B51" s="5" t="s">
        <v>1</v>
      </c>
      <c r="C51" s="6">
        <v>65</v>
      </c>
      <c r="D51" s="6">
        <v>519</v>
      </c>
      <c r="E51" s="6">
        <v>465</v>
      </c>
      <c r="F51" s="7">
        <f t="shared" si="5"/>
        <v>0.89595375722543358</v>
      </c>
      <c r="G51" s="6">
        <v>274</v>
      </c>
      <c r="H51" s="6">
        <v>270</v>
      </c>
      <c r="I51" s="7">
        <f t="shared" si="6"/>
        <v>0.98540145985401462</v>
      </c>
      <c r="J51" s="8">
        <v>593.29032258064569</v>
      </c>
      <c r="K51" s="8">
        <v>546.43333333333339</v>
      </c>
      <c r="L51" s="7">
        <f t="shared" si="7"/>
        <v>0.921021821081629</v>
      </c>
      <c r="M51" s="8">
        <v>543.29032258064569</v>
      </c>
      <c r="N51" s="8">
        <v>546.43333333333339</v>
      </c>
      <c r="O51" s="7">
        <f t="shared" si="8"/>
        <v>5.7851403237928175E-3</v>
      </c>
      <c r="P51" s="9">
        <f t="shared" si="9"/>
        <v>0.70454735100683707</v>
      </c>
      <c r="Q51" s="10">
        <v>596731.64412784588</v>
      </c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4">
        <v>46266</v>
      </c>
      <c r="B52" s="5" t="s">
        <v>4</v>
      </c>
      <c r="C52" s="6">
        <v>111</v>
      </c>
      <c r="D52" s="6">
        <v>888</v>
      </c>
      <c r="E52" s="6">
        <v>746</v>
      </c>
      <c r="F52" s="7">
        <f t="shared" si="5"/>
        <v>0.84009009009009006</v>
      </c>
      <c r="G52" s="6">
        <v>638</v>
      </c>
      <c r="H52" s="6">
        <v>612</v>
      </c>
      <c r="I52" s="7">
        <f t="shared" si="6"/>
        <v>0.95924764890282133</v>
      </c>
      <c r="J52" s="8">
        <v>855.16129032258129</v>
      </c>
      <c r="K52" s="8">
        <v>724.03333333333387</v>
      </c>
      <c r="L52" s="7">
        <f t="shared" si="7"/>
        <v>0.84666289450521814</v>
      </c>
      <c r="M52" s="8">
        <v>805.16129032258129</v>
      </c>
      <c r="N52" s="8">
        <v>746.03333333333387</v>
      </c>
      <c r="O52" s="7">
        <f t="shared" si="8"/>
        <v>-7.343616452991461E-2</v>
      </c>
      <c r="P52" s="9">
        <f t="shared" si="9"/>
        <v>0.6437983976835665</v>
      </c>
      <c r="Q52" s="10">
        <v>722503.8247977125</v>
      </c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2E2F1-95BC-47FA-AE10-C07324981276}">
  <dimension ref="A1:Q15"/>
  <sheetViews>
    <sheetView workbookViewId="0">
      <selection activeCell="J12" sqref="J12"/>
    </sheetView>
  </sheetViews>
  <sheetFormatPr defaultRowHeight="15" x14ac:dyDescent="0.25"/>
  <cols>
    <col min="1" max="1" width="11.85546875" bestFit="1" customWidth="1"/>
    <col min="2" max="2" width="4.7109375" bestFit="1" customWidth="1"/>
    <col min="3" max="3" width="5.42578125" bestFit="1" customWidth="1"/>
    <col min="4" max="4" width="6.5703125" bestFit="1" customWidth="1"/>
    <col min="5" max="5" width="5.85546875" bestFit="1" customWidth="1"/>
    <col min="6" max="6" width="6.42578125" bestFit="1" customWidth="1"/>
    <col min="7" max="7" width="6.5703125" bestFit="1" customWidth="1"/>
    <col min="8" max="8" width="8.7109375" bestFit="1" customWidth="1"/>
    <col min="9" max="9" width="7.5703125" bestFit="1" customWidth="1"/>
    <col min="10" max="10" width="6.5703125" bestFit="1" customWidth="1"/>
    <col min="11" max="12" width="5.85546875" bestFit="1" customWidth="1"/>
    <col min="13" max="13" width="7.7109375" bestFit="1" customWidth="1"/>
    <col min="14" max="14" width="11.140625" bestFit="1" customWidth="1"/>
    <col min="16" max="16" width="22.140625" bestFit="1" customWidth="1"/>
    <col min="17" max="17" width="28.85546875" bestFit="1" customWidth="1"/>
  </cols>
  <sheetData>
    <row r="1" spans="1:17" ht="15.75" x14ac:dyDescent="0.25">
      <c r="A1" s="23" t="s">
        <v>23</v>
      </c>
      <c r="B1" s="24">
        <v>0.3</v>
      </c>
      <c r="C1" s="25"/>
      <c r="D1" s="26"/>
      <c r="E1" s="27">
        <v>0.2</v>
      </c>
      <c r="F1" s="28"/>
      <c r="G1" s="29"/>
      <c r="H1" s="30">
        <v>0.3</v>
      </c>
      <c r="I1" s="31"/>
      <c r="J1" s="32"/>
      <c r="K1" s="30">
        <v>0.2</v>
      </c>
      <c r="L1" s="31"/>
      <c r="M1" s="32"/>
      <c r="N1" s="46" t="s">
        <v>24</v>
      </c>
      <c r="O1" s="12"/>
      <c r="P1" s="33" t="s">
        <v>25</v>
      </c>
      <c r="Q1" s="36" t="s">
        <v>26</v>
      </c>
    </row>
    <row r="2" spans="1:17" ht="15.75" x14ac:dyDescent="0.25">
      <c r="A2" s="23"/>
      <c r="B2" s="37" t="s">
        <v>27</v>
      </c>
      <c r="C2" s="38"/>
      <c r="D2" s="39"/>
      <c r="E2" s="40" t="s">
        <v>28</v>
      </c>
      <c r="F2" s="41"/>
      <c r="G2" s="42"/>
      <c r="H2" s="43" t="s">
        <v>29</v>
      </c>
      <c r="I2" s="44"/>
      <c r="J2" s="45"/>
      <c r="K2" s="43" t="s">
        <v>30</v>
      </c>
      <c r="L2" s="44"/>
      <c r="M2" s="45"/>
      <c r="N2" s="47"/>
      <c r="O2" s="12"/>
      <c r="P2" s="34"/>
      <c r="Q2" s="36"/>
    </row>
    <row r="3" spans="1:17" ht="15.75" x14ac:dyDescent="0.25">
      <c r="A3" s="23"/>
      <c r="B3" s="13" t="s">
        <v>31</v>
      </c>
      <c r="C3" s="13" t="s">
        <v>32</v>
      </c>
      <c r="D3" s="13" t="s">
        <v>33</v>
      </c>
      <c r="E3" s="14" t="s">
        <v>31</v>
      </c>
      <c r="F3" s="14" t="s">
        <v>32</v>
      </c>
      <c r="G3" s="14" t="s">
        <v>33</v>
      </c>
      <c r="H3" s="15" t="s">
        <v>31</v>
      </c>
      <c r="I3" s="15" t="s">
        <v>32</v>
      </c>
      <c r="J3" s="15" t="s">
        <v>33</v>
      </c>
      <c r="K3" s="15" t="s">
        <v>31</v>
      </c>
      <c r="L3" s="15" t="s">
        <v>32</v>
      </c>
      <c r="M3" s="15" t="s">
        <v>33</v>
      </c>
      <c r="N3" s="47"/>
      <c r="O3" s="12"/>
      <c r="P3" s="35"/>
      <c r="Q3" s="36"/>
    </row>
    <row r="4" spans="1:17" ht="15.75" x14ac:dyDescent="0.25">
      <c r="A4" s="16">
        <v>45962</v>
      </c>
      <c r="B4" s="17">
        <f>60</f>
        <v>60</v>
      </c>
      <c r="C4" s="17">
        <v>8</v>
      </c>
      <c r="D4" s="18">
        <f>C4/B4</f>
        <v>0.13333333333333333</v>
      </c>
      <c r="E4" s="17">
        <f>150</f>
        <v>150</v>
      </c>
      <c r="F4" s="11">
        <v>11.9</v>
      </c>
      <c r="G4" s="18">
        <f t="shared" ref="G4:G12" si="0">IFERROR(F4/E4,0)</f>
        <v>7.9333333333333339E-2</v>
      </c>
      <c r="H4" s="17">
        <f>20000</f>
        <v>20000</v>
      </c>
      <c r="I4" s="17">
        <v>1934</v>
      </c>
      <c r="J4" s="18">
        <f t="shared" ref="J4:J12" si="1">IFERROR(I4/H4,0)</f>
        <v>9.6699999999999994E-2</v>
      </c>
      <c r="K4" s="17">
        <f>200</f>
        <v>200</v>
      </c>
      <c r="L4" s="17">
        <v>418</v>
      </c>
      <c r="M4" s="18">
        <f t="shared" ref="M4:M12" si="2">IFERROR(L4/K4,0)</f>
        <v>2.09</v>
      </c>
      <c r="N4" s="18">
        <f>(D4*$B$1)+(G4*$E$1)+(J4*$H$1)+(M4*$K$1)</f>
        <v>0.50287666666666664</v>
      </c>
      <c r="O4" s="19"/>
      <c r="P4" s="20">
        <f>IF($O4&gt;120%,120%,IF($O4&gt;=70%,N4,IF($O4&gt;=60%,50%,0%)))</f>
        <v>0</v>
      </c>
      <c r="Q4" s="21">
        <f>((F4*31)+(I4+L4))*50*P4</f>
        <v>0</v>
      </c>
    </row>
    <row r="5" spans="1:17" ht="15.75" x14ac:dyDescent="0.25">
      <c r="A5" s="22">
        <v>45992</v>
      </c>
      <c r="B5" s="17">
        <f>60</f>
        <v>60</v>
      </c>
      <c r="C5" s="17">
        <v>0</v>
      </c>
      <c r="D5" s="18">
        <f t="shared" ref="D5:D12" si="3">C5/B5</f>
        <v>0</v>
      </c>
      <c r="E5" s="17">
        <f>150</f>
        <v>150</v>
      </c>
      <c r="F5" s="11">
        <v>0</v>
      </c>
      <c r="G5" s="18">
        <f t="shared" si="0"/>
        <v>0</v>
      </c>
      <c r="H5" s="17">
        <f>20000</f>
        <v>20000</v>
      </c>
      <c r="I5" s="17">
        <v>2247</v>
      </c>
      <c r="J5" s="18">
        <f t="shared" si="1"/>
        <v>0.11235000000000001</v>
      </c>
      <c r="K5" s="17">
        <f>200</f>
        <v>200</v>
      </c>
      <c r="L5" s="17">
        <v>326</v>
      </c>
      <c r="M5" s="18">
        <f t="shared" si="2"/>
        <v>1.63</v>
      </c>
      <c r="N5" s="18">
        <f t="shared" ref="N5:N12" si="4">(D5*$B$1)+(G5*$E$1)+(J5*$H$1)+(M5*$K$1)</f>
        <v>0.359705</v>
      </c>
      <c r="O5" s="12"/>
      <c r="P5" s="20">
        <f t="shared" ref="P5:P12" si="5">IF($O5&gt;120%,120%,IF($O5&gt;=70%,N5,IF($O5&gt;=60%,50%,0%)))</f>
        <v>0</v>
      </c>
      <c r="Q5" s="21">
        <f t="shared" ref="Q5:Q12" si="6">((F5*31)+(I5+L5))*50*P5</f>
        <v>0</v>
      </c>
    </row>
    <row r="6" spans="1:17" ht="15.75" x14ac:dyDescent="0.25">
      <c r="A6" s="22">
        <v>46023</v>
      </c>
      <c r="B6" s="17">
        <f>60</f>
        <v>60</v>
      </c>
      <c r="C6" s="17">
        <v>2</v>
      </c>
      <c r="D6" s="18">
        <f t="shared" si="3"/>
        <v>3.3333333333333333E-2</v>
      </c>
      <c r="E6" s="17">
        <f>150</f>
        <v>150</v>
      </c>
      <c r="F6" s="11">
        <v>2.8</v>
      </c>
      <c r="G6" s="18">
        <f t="shared" si="0"/>
        <v>1.8666666666666665E-2</v>
      </c>
      <c r="H6" s="17">
        <f>20000</f>
        <v>20000</v>
      </c>
      <c r="I6" s="17">
        <v>2776</v>
      </c>
      <c r="J6" s="18">
        <f t="shared" si="1"/>
        <v>0.13880000000000001</v>
      </c>
      <c r="K6" s="17">
        <f>200</f>
        <v>200</v>
      </c>
      <c r="L6" s="17">
        <v>333</v>
      </c>
      <c r="M6" s="18">
        <f t="shared" si="2"/>
        <v>1.665</v>
      </c>
      <c r="N6" s="18">
        <f t="shared" si="4"/>
        <v>0.38837333333333335</v>
      </c>
      <c r="O6" s="12"/>
      <c r="P6" s="20">
        <f t="shared" si="5"/>
        <v>0</v>
      </c>
      <c r="Q6" s="21">
        <f t="shared" si="6"/>
        <v>0</v>
      </c>
    </row>
    <row r="7" spans="1:17" ht="15.75" x14ac:dyDescent="0.25">
      <c r="A7" s="22">
        <v>46054</v>
      </c>
      <c r="B7" s="17">
        <f>60</f>
        <v>60</v>
      </c>
      <c r="C7" s="17">
        <v>3</v>
      </c>
      <c r="D7" s="18">
        <f t="shared" si="3"/>
        <v>0.05</v>
      </c>
      <c r="E7" s="17">
        <f>150</f>
        <v>150</v>
      </c>
      <c r="F7" s="11">
        <v>9.6</v>
      </c>
      <c r="G7" s="18">
        <f t="shared" si="0"/>
        <v>6.4000000000000001E-2</v>
      </c>
      <c r="H7" s="17">
        <f>20000</f>
        <v>20000</v>
      </c>
      <c r="I7" s="17">
        <v>2959</v>
      </c>
      <c r="J7" s="18">
        <f t="shared" si="1"/>
        <v>0.14795</v>
      </c>
      <c r="K7" s="17">
        <f>200</f>
        <v>200</v>
      </c>
      <c r="L7" s="17">
        <v>298</v>
      </c>
      <c r="M7" s="18">
        <f t="shared" si="2"/>
        <v>1.49</v>
      </c>
      <c r="N7" s="18">
        <f t="shared" si="4"/>
        <v>0.37018499999999999</v>
      </c>
      <c r="O7" s="12"/>
      <c r="P7" s="20">
        <f t="shared" si="5"/>
        <v>0</v>
      </c>
      <c r="Q7" s="21">
        <f t="shared" si="6"/>
        <v>0</v>
      </c>
    </row>
    <row r="8" spans="1:17" ht="15.75" x14ac:dyDescent="0.25">
      <c r="A8" s="22">
        <v>46082</v>
      </c>
      <c r="B8" s="17">
        <f>60</f>
        <v>60</v>
      </c>
      <c r="C8" s="17">
        <v>1</v>
      </c>
      <c r="D8" s="18">
        <f t="shared" si="3"/>
        <v>1.6666666666666666E-2</v>
      </c>
      <c r="E8" s="17">
        <f>150</f>
        <v>150</v>
      </c>
      <c r="F8" s="11">
        <v>0.12903225806451613</v>
      </c>
      <c r="G8" s="18">
        <f t="shared" si="0"/>
        <v>8.6021505376344086E-4</v>
      </c>
      <c r="H8" s="17">
        <f>20000</f>
        <v>20000</v>
      </c>
      <c r="I8" s="17">
        <v>3336</v>
      </c>
      <c r="J8" s="18">
        <f t="shared" si="1"/>
        <v>0.1668</v>
      </c>
      <c r="K8" s="17">
        <f>200</f>
        <v>200</v>
      </c>
      <c r="L8" s="17">
        <v>434</v>
      </c>
      <c r="M8" s="18">
        <f t="shared" si="2"/>
        <v>2.17</v>
      </c>
      <c r="N8" s="18">
        <f t="shared" si="4"/>
        <v>0.48921204301075272</v>
      </c>
      <c r="O8" s="12"/>
      <c r="P8" s="20">
        <f t="shared" si="5"/>
        <v>0</v>
      </c>
      <c r="Q8" s="21">
        <f t="shared" si="6"/>
        <v>0</v>
      </c>
    </row>
    <row r="9" spans="1:17" ht="15.75" x14ac:dyDescent="0.25">
      <c r="A9" s="22">
        <v>46113</v>
      </c>
      <c r="B9" s="17">
        <f>60</f>
        <v>60</v>
      </c>
      <c r="C9" s="17">
        <v>3</v>
      </c>
      <c r="D9" s="18">
        <f t="shared" si="3"/>
        <v>0.05</v>
      </c>
      <c r="E9" s="17">
        <f>150</f>
        <v>150</v>
      </c>
      <c r="F9" s="11">
        <v>1.2</v>
      </c>
      <c r="G9" s="18">
        <f t="shared" si="0"/>
        <v>8.0000000000000002E-3</v>
      </c>
      <c r="H9" s="17">
        <f>20000</f>
        <v>20000</v>
      </c>
      <c r="I9" s="17">
        <v>2932</v>
      </c>
      <c r="J9" s="18">
        <f t="shared" si="1"/>
        <v>0.14660000000000001</v>
      </c>
      <c r="K9" s="17">
        <f>200</f>
        <v>200</v>
      </c>
      <c r="L9" s="17">
        <v>349</v>
      </c>
      <c r="M9" s="18">
        <f t="shared" si="2"/>
        <v>1.7450000000000001</v>
      </c>
      <c r="N9" s="18">
        <f t="shared" si="4"/>
        <v>0.40958000000000006</v>
      </c>
      <c r="O9" s="12"/>
      <c r="P9" s="20">
        <f t="shared" si="5"/>
        <v>0</v>
      </c>
      <c r="Q9" s="21">
        <f t="shared" si="6"/>
        <v>0</v>
      </c>
    </row>
    <row r="10" spans="1:17" ht="15.75" x14ac:dyDescent="0.25">
      <c r="A10" s="22">
        <v>46143</v>
      </c>
      <c r="B10" s="17">
        <f>60</f>
        <v>60</v>
      </c>
      <c r="C10" s="17">
        <v>1</v>
      </c>
      <c r="D10" s="18">
        <f t="shared" si="3"/>
        <v>1.6666666666666666E-2</v>
      </c>
      <c r="E10" s="17">
        <f>150</f>
        <v>150</v>
      </c>
      <c r="F10" s="11">
        <v>3.8387096774193519</v>
      </c>
      <c r="G10" s="18">
        <f t="shared" si="0"/>
        <v>2.5591397849462346E-2</v>
      </c>
      <c r="H10" s="17">
        <f>20000</f>
        <v>20000</v>
      </c>
      <c r="I10" s="17">
        <v>4116</v>
      </c>
      <c r="J10" s="18">
        <f t="shared" si="1"/>
        <v>0.20580000000000001</v>
      </c>
      <c r="K10" s="17">
        <f>200</f>
        <v>200</v>
      </c>
      <c r="L10" s="17">
        <v>269</v>
      </c>
      <c r="M10" s="18">
        <f t="shared" si="2"/>
        <v>1.345</v>
      </c>
      <c r="N10" s="18">
        <f t="shared" si="4"/>
        <v>0.34085827956989251</v>
      </c>
      <c r="O10" s="12"/>
      <c r="P10" s="20">
        <f t="shared" si="5"/>
        <v>0</v>
      </c>
      <c r="Q10" s="21">
        <f t="shared" si="6"/>
        <v>0</v>
      </c>
    </row>
    <row r="11" spans="1:17" ht="15.75" x14ac:dyDescent="0.25">
      <c r="A11" s="22">
        <v>46174</v>
      </c>
      <c r="B11" s="17">
        <f>60</f>
        <v>60</v>
      </c>
      <c r="C11" s="17">
        <v>3</v>
      </c>
      <c r="D11" s="18">
        <f t="shared" si="3"/>
        <v>0.05</v>
      </c>
      <c r="E11" s="17">
        <f>150</f>
        <v>150</v>
      </c>
      <c r="F11" s="11">
        <v>7.9333333333333176</v>
      </c>
      <c r="G11" s="18">
        <f t="shared" si="0"/>
        <v>5.2888888888888784E-2</v>
      </c>
      <c r="H11" s="17">
        <f>20000</f>
        <v>20000</v>
      </c>
      <c r="I11" s="17">
        <v>2863</v>
      </c>
      <c r="J11" s="18">
        <f t="shared" si="1"/>
        <v>0.14315</v>
      </c>
      <c r="K11" s="17">
        <f>200</f>
        <v>200</v>
      </c>
      <c r="L11" s="17">
        <v>259</v>
      </c>
      <c r="M11" s="18">
        <f t="shared" si="2"/>
        <v>1.2949999999999999</v>
      </c>
      <c r="N11" s="18">
        <f t="shared" si="4"/>
        <v>0.32752277777777777</v>
      </c>
      <c r="O11" s="12"/>
      <c r="P11" s="20">
        <f t="shared" si="5"/>
        <v>0</v>
      </c>
      <c r="Q11" s="21">
        <f t="shared" si="6"/>
        <v>0</v>
      </c>
    </row>
    <row r="12" spans="1:17" ht="15.75" x14ac:dyDescent="0.25">
      <c r="A12" s="22">
        <v>46204</v>
      </c>
      <c r="B12" s="17">
        <f>60</f>
        <v>60</v>
      </c>
      <c r="C12" s="17">
        <v>2</v>
      </c>
      <c r="D12" s="18">
        <f t="shared" si="3"/>
        <v>3.3333333333333333E-2</v>
      </c>
      <c r="E12" s="17">
        <f>150</f>
        <v>150</v>
      </c>
      <c r="F12" s="11">
        <v>5.7</v>
      </c>
      <c r="G12" s="18">
        <f t="shared" si="0"/>
        <v>3.7999999999999999E-2</v>
      </c>
      <c r="H12" s="17">
        <f>20000</f>
        <v>20000</v>
      </c>
      <c r="I12" s="17">
        <v>2519</v>
      </c>
      <c r="J12" s="18">
        <f t="shared" si="1"/>
        <v>0.12595000000000001</v>
      </c>
      <c r="K12" s="17">
        <f>200</f>
        <v>200</v>
      </c>
      <c r="L12" s="17">
        <v>302</v>
      </c>
      <c r="M12" s="18">
        <f t="shared" si="2"/>
        <v>1.51</v>
      </c>
      <c r="N12" s="18">
        <f t="shared" si="4"/>
        <v>0.35738500000000006</v>
      </c>
      <c r="O12" s="12"/>
      <c r="P12" s="20">
        <f t="shared" si="5"/>
        <v>0</v>
      </c>
      <c r="Q12" s="21">
        <f t="shared" si="6"/>
        <v>0</v>
      </c>
    </row>
    <row r="13" spans="1:17" ht="15.75" x14ac:dyDescent="0.25">
      <c r="A13" s="22">
        <v>46235</v>
      </c>
      <c r="B13" s="17">
        <f>60</f>
        <v>60</v>
      </c>
      <c r="C13" s="17">
        <v>4</v>
      </c>
      <c r="D13" s="18">
        <f t="shared" ref="D13:D14" si="7">IFERROR(C13/B13,0)</f>
        <v>6.6666666666666666E-2</v>
      </c>
      <c r="E13" s="17">
        <f>150</f>
        <v>150</v>
      </c>
      <c r="F13" s="11">
        <v>27.3</v>
      </c>
      <c r="G13" s="18">
        <f t="shared" ref="G13:G14" si="8">IFERROR(F13/E13,0)</f>
        <v>0.182</v>
      </c>
      <c r="H13" s="17">
        <f>20000</f>
        <v>20000</v>
      </c>
      <c r="I13" s="17">
        <v>2765</v>
      </c>
      <c r="J13" s="18">
        <f t="shared" ref="J13:J14" si="9">IFERROR(I13/H13,0)</f>
        <v>0.13825000000000001</v>
      </c>
      <c r="K13" s="17">
        <f>200</f>
        <v>200</v>
      </c>
      <c r="L13" s="17">
        <v>452</v>
      </c>
      <c r="M13" s="18">
        <f t="shared" ref="M13:M14" si="10">IFERROR(L13/K13,0)</f>
        <v>2.2599999999999998</v>
      </c>
      <c r="N13" s="18">
        <f t="shared" ref="N13:N14" si="11">(D13*$B$1)+(G13*$E$1)+(J13*$H$1)+(M13*$K$1)</f>
        <v>0.549875</v>
      </c>
      <c r="O13" s="12"/>
      <c r="P13" s="20">
        <f t="shared" ref="P13:P14" si="12">IF($O13&gt;120%,120%,IF($O13&gt;=70%,N13,IF($O13&gt;=60%,50%,0%)))</f>
        <v>0</v>
      </c>
      <c r="Q13" s="21">
        <f t="shared" ref="Q13:Q14" si="13">((F13*31)+(I13+L13))*50*P13</f>
        <v>0</v>
      </c>
    </row>
    <row r="14" spans="1:17" ht="15.75" x14ac:dyDescent="0.25">
      <c r="A14" s="22">
        <v>46266</v>
      </c>
      <c r="B14" s="17">
        <f>60</f>
        <v>60</v>
      </c>
      <c r="C14" s="17">
        <v>1</v>
      </c>
      <c r="D14" s="18">
        <f t="shared" si="7"/>
        <v>1.6666666666666666E-2</v>
      </c>
      <c r="E14" s="17">
        <f>150</f>
        <v>150</v>
      </c>
      <c r="F14" s="11">
        <v>19</v>
      </c>
      <c r="G14" s="18">
        <f t="shared" si="8"/>
        <v>0.12666666666666668</v>
      </c>
      <c r="H14" s="17">
        <f>20000</f>
        <v>20000</v>
      </c>
      <c r="I14" s="17">
        <v>2924</v>
      </c>
      <c r="J14" s="18">
        <f t="shared" si="9"/>
        <v>0.1462</v>
      </c>
      <c r="K14" s="17">
        <f>200</f>
        <v>200</v>
      </c>
      <c r="L14" s="17">
        <v>344</v>
      </c>
      <c r="M14" s="18">
        <f t="shared" si="10"/>
        <v>1.72</v>
      </c>
      <c r="N14" s="18">
        <f t="shared" si="11"/>
        <v>0.41819333333333336</v>
      </c>
      <c r="O14" s="12"/>
      <c r="P14" s="20">
        <f t="shared" si="12"/>
        <v>0</v>
      </c>
      <c r="Q14" s="21">
        <f t="shared" si="13"/>
        <v>0</v>
      </c>
    </row>
    <row r="15" spans="1:17" ht="15.75" x14ac:dyDescent="0.25">
      <c r="A15" s="22"/>
      <c r="B15" s="17"/>
      <c r="C15" s="17"/>
      <c r="D15" s="18"/>
      <c r="E15" s="17"/>
      <c r="F15" s="11"/>
      <c r="G15" s="18"/>
      <c r="H15" s="17"/>
      <c r="I15" s="17"/>
      <c r="J15" s="18"/>
      <c r="K15" s="17"/>
      <c r="L15" s="17"/>
      <c r="M15" s="18"/>
      <c r="N15" s="18"/>
      <c r="P15" s="20"/>
      <c r="Q15" s="21"/>
    </row>
  </sheetData>
  <mergeCells count="12">
    <mergeCell ref="P1:P3"/>
    <mergeCell ref="Q1:Q3"/>
    <mergeCell ref="B2:D2"/>
    <mergeCell ref="E2:G2"/>
    <mergeCell ref="H2:J2"/>
    <mergeCell ref="K2:M2"/>
    <mergeCell ref="N1:N3"/>
    <mergeCell ref="A1:A3"/>
    <mergeCell ref="B1:D1"/>
    <mergeCell ref="E1:G1"/>
    <mergeCell ref="H1:J1"/>
    <mergeCell ref="K1:M1"/>
  </mergeCells>
  <conditionalFormatting sqref="D4:D15 G4:G15 J4:J15 M4:N15">
    <cfRule type="cellIs" dxfId="0" priority="1" operator="lessThan">
      <formula>0.6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KPI_SCO</vt:lpstr>
      <vt:lpstr>KPI_DSO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Pasha</cp:lastModifiedBy>
  <dcterms:created xsi:type="dcterms:W3CDTF">2026-10-01T04:03:36Z</dcterms:created>
  <dcterms:modified xsi:type="dcterms:W3CDTF">2026-10-17T07:09:28Z</dcterms:modified>
</cp:coreProperties>
</file>