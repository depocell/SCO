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MYASTAGA\DAILY_REPORT\SCO\"/>
    </mc:Choice>
  </mc:AlternateContent>
  <xr:revisionPtr revIDLastSave="0" documentId="13_ncr:1_{B17221FF-CFAC-4CD7-93A5-ADFBB1A424AC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Index" sheetId="7" r:id="rId1"/>
    <sheet name="TREN_AGEN" sheetId="5" r:id="rId2"/>
    <sheet name="Tren Harian_SCO" sheetId="6" r:id="rId3"/>
  </sheets>
  <definedNames>
    <definedName name="ExternalData_1" localSheetId="2" hidden="1">'Tren Harian_SCO'!$A$1:$D$345</definedName>
    <definedName name="ExternalData_2" localSheetId="1" hidden="1">TREN_AGEN!$A$1:$G$1269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" i="7" l="1"/>
  <c r="F4" i="7"/>
  <c r="F5" i="7"/>
  <c r="F6" i="7"/>
  <c r="F7" i="7"/>
  <c r="F8" i="7"/>
  <c r="F9" i="7"/>
  <c r="F10" i="7"/>
  <c r="F11" i="7"/>
  <c r="F12" i="7"/>
  <c r="F13" i="7"/>
  <c r="F14" i="7"/>
  <c r="F2" i="7"/>
  <c r="D14" i="7"/>
  <c r="C14" i="7"/>
  <c r="E14" i="7" s="1"/>
  <c r="D12" i="7"/>
  <c r="C12" i="7"/>
  <c r="E3" i="7"/>
  <c r="E4" i="7"/>
  <c r="E5" i="7"/>
  <c r="E6" i="7"/>
  <c r="E7" i="7"/>
  <c r="E8" i="7"/>
  <c r="E9" i="7"/>
  <c r="E10" i="7"/>
  <c r="E11" i="7"/>
  <c r="E12" i="7"/>
  <c r="E13" i="7"/>
  <c r="E2" i="7"/>
  <c r="D7" i="7"/>
  <c r="C7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070DB8A-777D-41DD-8608-C46B61FEDBDA}" keepAlive="1" name="Query - Tren Harian_SCO" description="Connection to the 'Tren Harian_SCO' query in the workbook." type="5" refreshedVersion="8" background="1" saveData="1">
    <dbPr connection="Provider=Microsoft.Mashup.OleDb.1;Data Source=$Workbook$;Location=&quot;Tren Harian_SCO&quot;;Extended Properties=&quot;&quot;" command="SELECT * FROM [Tren Harian_SCO]"/>
  </connection>
  <connection id="2" xr16:uid="{BE2DB06B-3640-4F72-A7BF-6169EFA34253}" keepAlive="1" name="Query - TREN_AGEN" description="Connection to the 'TREN_AGEN' query in the workbook." type="5" refreshedVersion="8" background="1" saveData="1">
    <dbPr connection="Provider=Microsoft.Mashup.OleDb.1;Data Source=$Workbook$;Location=TREN_AGEN;Extended Properties=&quot;&quot;" command="SELECT * FROM [TREN_AGEN]"/>
  </connection>
</connections>
</file>

<file path=xl/sharedStrings.xml><?xml version="1.0" encoding="utf-8"?>
<sst xmlns="http://schemas.openxmlformats.org/spreadsheetml/2006/main" count="2608" uniqueCount="960">
  <si>
    <t>NAMA SCO</t>
  </si>
  <si>
    <t>NAMA CUSTOMER</t>
  </si>
  <si>
    <t>LOCATION</t>
  </si>
  <si>
    <t>JADWAL</t>
  </si>
  <si>
    <t>Aug</t>
  </si>
  <si>
    <t>Sep</t>
  </si>
  <si>
    <t>Abdul Harris</t>
  </si>
  <si>
    <t>AR00421 - TIFANNY CELL (RV)</t>
  </si>
  <si>
    <t>6°22'03.2"S 106°38'40.2"E</t>
  </si>
  <si>
    <t>Senin,Kamis</t>
  </si>
  <si>
    <t>AR01018 - SALMA CELL (4) (MV)</t>
  </si>
  <si>
    <t>6°21'58.3"S 106°37'00.7"E</t>
  </si>
  <si>
    <t>AR01387 - ONIE CELL (RV)</t>
  </si>
  <si>
    <t>6°18'10.3"S 106°34'17.6"E</t>
  </si>
  <si>
    <t>Rabu,Sabtu</t>
  </si>
  <si>
    <t>AR01482 - EXCELL (MV)</t>
  </si>
  <si>
    <t>6°20'41.7"S 106°35'37.5"E</t>
  </si>
  <si>
    <t>AR01857 - JEJE CELL (M)</t>
  </si>
  <si>
    <t>6°19'55.5"S 106°34'32.7"E</t>
  </si>
  <si>
    <t>AR06378 - BELLA CELL (RL)</t>
  </si>
  <si>
    <t>6°20'26.6"S 106°38'26.6"E</t>
  </si>
  <si>
    <t>AR08006 - TJ CELL (P)</t>
  </si>
  <si>
    <t>6°23'10.4"S 106°37'54.2"E</t>
  </si>
  <si>
    <t>Senin,Selasa, Kamis,Jum'at</t>
  </si>
  <si>
    <t>AR08186 - PAGI CELLULER (P)</t>
  </si>
  <si>
    <t>6°22'10.0"S 106°38'14.7"E</t>
  </si>
  <si>
    <t>AR08853 - EXTREME CELL (RV)</t>
  </si>
  <si>
    <t>6°18'11.4"S 106°36'44.5"E</t>
  </si>
  <si>
    <t>AR08872 - TEGUH PRIYATNA01 CELL (M)</t>
  </si>
  <si>
    <t>6°15'29.0"S 106°34'31.8"E</t>
  </si>
  <si>
    <t>Selasa,Jum'at</t>
  </si>
  <si>
    <t>AR08896 - STAR CELL (M)</t>
  </si>
  <si>
    <t>6°20'46.9"S 106°38'15.4"E</t>
  </si>
  <si>
    <t>AR08943 - KDS CELL (MV)</t>
  </si>
  <si>
    <t>6°19'34.4"S 106°36'12.6"E</t>
  </si>
  <si>
    <t>AR10812 - KILAT CELL (P)</t>
  </si>
  <si>
    <t>6°19'11.5"S 106°38'30.0"E</t>
  </si>
  <si>
    <t>AR11024 - ANTON CELL (MV)</t>
  </si>
  <si>
    <t>6°19'20.2"S 106°38'27.4"E</t>
  </si>
  <si>
    <t>AR11185 - NUAWA CELL (P)</t>
  </si>
  <si>
    <t>6°22'30.4"S 106°37'56.1"E</t>
  </si>
  <si>
    <t>AR11704 - ARIS CICANGKAL (P)</t>
  </si>
  <si>
    <t>6°23'15.3"S 106°37'58.2"E</t>
  </si>
  <si>
    <t>AR11952 - NICO CELL (RV)</t>
  </si>
  <si>
    <t>6°17'41.5"S 106°38'08.5"E</t>
  </si>
  <si>
    <t>AR12141 - LUBIS CELL (P)</t>
  </si>
  <si>
    <t>6°20'12.6"S 106°35'59.4"E</t>
  </si>
  <si>
    <t>AR12875 - NAMIRA CELL (P)</t>
  </si>
  <si>
    <t>6°14'51.3"S 106°37'13.9"E</t>
  </si>
  <si>
    <t>AR12919 - YOGA CELL (RV)</t>
  </si>
  <si>
    <t>6°19'31.4"S 106°35'33.4"E</t>
  </si>
  <si>
    <t>AR13166 - MINGGA CELL (MV)</t>
  </si>
  <si>
    <t>6°17'44.7"S 106°37'41.8"E</t>
  </si>
  <si>
    <t>AR13559 - INDAH CELL (MV)</t>
  </si>
  <si>
    <t>6°17'51.9"S 106°37'09.4"E</t>
  </si>
  <si>
    <t>AR13861 - DIDI CELL (RL)</t>
  </si>
  <si>
    <t>6°22'35.2"S 106°38'02.7"E</t>
  </si>
  <si>
    <t>AR13904 - SMART CELL (MV)</t>
  </si>
  <si>
    <t>6°15'9.0"S 106°35'49.7"E</t>
  </si>
  <si>
    <t>AR14274 - NAYA CELL (MV)</t>
  </si>
  <si>
    <t>6°14'48.3"S 106°38'32.9"E</t>
  </si>
  <si>
    <t>AR14287 - DUNIA PONSEL (MV)</t>
  </si>
  <si>
    <t>6°20'25.9"S 106°38'13.0"E</t>
  </si>
  <si>
    <t>AR14474 - GHINA CELL (MV)</t>
  </si>
  <si>
    <t>6°21'05.8"S 106°38'10.5"E</t>
  </si>
  <si>
    <t>AR14573 - STARCELL (MV)</t>
  </si>
  <si>
    <t>6°18'09.7"S 106°35'37.6"E</t>
  </si>
  <si>
    <t>AR15015 - DILA CELLULAR (RV)</t>
  </si>
  <si>
    <t>6°17'03.5"S 106°35'25.9"E</t>
  </si>
  <si>
    <t>AR15016 - NIZAR CELL (RV)</t>
  </si>
  <si>
    <t>6°18'20.4"S 106°34'14.3"E</t>
  </si>
  <si>
    <t>AR15154 - LINA CELL (MV)</t>
  </si>
  <si>
    <t>6°17'10.1"S 106°38'05.9"E</t>
  </si>
  <si>
    <t>AR15422 - ANGGA CELL (MV)</t>
  </si>
  <si>
    <t>6°13'15.1"S 106°36'32.3"E</t>
  </si>
  <si>
    <t>AR16995 - AMEYL CELL (RV)</t>
  </si>
  <si>
    <t>6°15'8.2"S 106°35'46.2"E</t>
  </si>
  <si>
    <t>AR17076 - GALAXY CELL (MV)</t>
  </si>
  <si>
    <t>6°17'54.4"S 106°35'21.4"E</t>
  </si>
  <si>
    <t>AR17265 - KAPUK CELL (MV)</t>
  </si>
  <si>
    <t>6°15'05.2"S 106°33'55.4"E</t>
  </si>
  <si>
    <t>AR17317 - KHAIRA CELL (MV)</t>
  </si>
  <si>
    <t>6°14'33.6"S 106°38'02.4"E</t>
  </si>
  <si>
    <t>AR17339 - PURIY CELL (RL)</t>
  </si>
  <si>
    <t>6°15'24.8"S 106°35'22.3"E</t>
  </si>
  <si>
    <t>AR17448 - TITIN (RV)</t>
  </si>
  <si>
    <t>6°19'37.7"S 106°38'08.2"E</t>
  </si>
  <si>
    <t>AR20505 - WARUNG INTAN (RV)</t>
  </si>
  <si>
    <t>6°18'03.4"S 106°35'11.8"E</t>
  </si>
  <si>
    <t>AR20752 - ICA (RV)</t>
  </si>
  <si>
    <t>6°21'11.2"S 106°39'09.2"E</t>
  </si>
  <si>
    <t>AR21932 - SARAH CELL (RL)</t>
  </si>
  <si>
    <t>6°21'38.5"S 106°38'10.0"E</t>
  </si>
  <si>
    <t>AR22076 - GOLDEN CELL (RV)</t>
  </si>
  <si>
    <t>6°17'54.3"S 106°35'23.0"E</t>
  </si>
  <si>
    <t>AR22087 - GOLDEN STAR (RV)</t>
  </si>
  <si>
    <t>6°17'55.2"S 106°35'16.6"E</t>
  </si>
  <si>
    <t>AR22089 - PANGKALAN JAYA 2 (RV)</t>
  </si>
  <si>
    <t>6°19'11.2"S 106°34'51.2"E</t>
  </si>
  <si>
    <t>AR22100 - PANGKALAN JAYA 1 (RV)</t>
  </si>
  <si>
    <t>6°15'20.2"S 106°36'26.9"E</t>
  </si>
  <si>
    <t>AR23191 - WARUNG LAILA CELL (RL)</t>
  </si>
  <si>
    <t>6°15'37.8"S 106°38'32.2"E</t>
  </si>
  <si>
    <t>AR23841 - NATASYA CELL (RL)</t>
  </si>
  <si>
    <t>6°20'31.2"S 106°35'23.0"E</t>
  </si>
  <si>
    <t>AR24158 - MELDA (RV)</t>
  </si>
  <si>
    <t>6°21'28.1"S 106°37'53.2"E</t>
  </si>
  <si>
    <t>AR25301 - TOKO PUTRA (RL)</t>
  </si>
  <si>
    <t>6°20'23.7"S 106°38'05.7"E</t>
  </si>
  <si>
    <t>AR26154 - TWINS CELL (RV)</t>
  </si>
  <si>
    <t>6°19'14.3"S 106°36'16.9"E</t>
  </si>
  <si>
    <t>AR27415 - VITA (RL)</t>
  </si>
  <si>
    <t>6°17'58.9"S 106°36'50.8"E</t>
  </si>
  <si>
    <t>AR27421 - DIKI CELL (RV)</t>
  </si>
  <si>
    <t>6°14'59.0"S 106°37'44.1"E</t>
  </si>
  <si>
    <t>AR27615 - IWAN CELL (RV)</t>
  </si>
  <si>
    <t>6°16'37.9"S 106°37'31.4"E</t>
  </si>
  <si>
    <t>AR27667 - WARUNG DEN AKSA (RV)</t>
  </si>
  <si>
    <t>6°15'16.0"S 106°36'15.5"E</t>
  </si>
  <si>
    <t>AR27772 - WARUNG MAMAH APANG (RV)</t>
  </si>
  <si>
    <t>6°18'01.3"S 106°34'13.4"E</t>
  </si>
  <si>
    <t>AR27774 - MAMAH AQIL (RV)</t>
  </si>
  <si>
    <t>6°18'24.4"S 106°34'13.2"E</t>
  </si>
  <si>
    <t>AR27787 - WARUNG DEVI (RL)</t>
  </si>
  <si>
    <t>6°19'08.0"S 106°34'23.8"E</t>
  </si>
  <si>
    <t>AR27811 - GELSI CELL (RV)</t>
  </si>
  <si>
    <t>6°15'56.7"S 106°34'11.1"E</t>
  </si>
  <si>
    <t>AR28063 - DIAN CELL (RV)</t>
  </si>
  <si>
    <t>6°21'01.4"S 106°38'00.7"E</t>
  </si>
  <si>
    <t>AR28073 - WARUNG BU JAKA (RV)</t>
  </si>
  <si>
    <t>6°20'54.8"S 106°38'11.9"E</t>
  </si>
  <si>
    <t>AR28168 - WARUNG YUMA (R)</t>
  </si>
  <si>
    <t>6°15'52.6"S 106°38'39.4"E</t>
  </si>
  <si>
    <t>AR28188 - MAMA IBAN (RV)</t>
  </si>
  <si>
    <t>6°21'22.4"S 106°38'02.3"E</t>
  </si>
  <si>
    <t>AR28224 - BRYAN CELL (RV)</t>
  </si>
  <si>
    <t>6°16'19.0"S 106°37'47.8"E</t>
  </si>
  <si>
    <t>AR28226 - WARUNG NANDA (P)</t>
  </si>
  <si>
    <t>6°16'18.8"S 106°37'47.2"E</t>
  </si>
  <si>
    <t>AR28729 - 99CENTERPULSA (MV)</t>
  </si>
  <si>
    <t>6°19'06.3"S 106°34'38.8"E</t>
  </si>
  <si>
    <t>AR28888 - MUNAFIROH (P)</t>
  </si>
  <si>
    <t>6°17'36.9"S 106°33'40.6"E</t>
  </si>
  <si>
    <t>AR29276 - WARUNG DILA (P)</t>
  </si>
  <si>
    <t>6°18'09.6"S 106°36'03.9"E</t>
  </si>
  <si>
    <t>AR29383 - DIMAS CELL (P)</t>
  </si>
  <si>
    <t>6°17'2.3"S 106°38'4.5"E</t>
  </si>
  <si>
    <t>AR29694 - WARUNG MADURA ROYAL (P)</t>
  </si>
  <si>
    <t>6°16'58.4"S 106°38'31.5"E</t>
  </si>
  <si>
    <t>AR29928 - SITI AMALIAH (RL)</t>
  </si>
  <si>
    <t>6°17'5.6"S 106°37'8.8"E</t>
  </si>
  <si>
    <t>AR30092 - A2 CELL (RL)</t>
  </si>
  <si>
    <t>6°19'45.8"S 106°38'00.8"E</t>
  </si>
  <si>
    <t>AR30548 - FAZILA STORE (RL)</t>
  </si>
  <si>
    <t>6°16'48.4"S 106°37'31.9"E</t>
  </si>
  <si>
    <t>AR30715 - ROMANSYAH CELL (RV)</t>
  </si>
  <si>
    <t>6°18'10.5"S 106°34'17.3"E</t>
  </si>
  <si>
    <t>AR31460 - TOKO PEJUANG (RV)</t>
  </si>
  <si>
    <t>6°19'34.0"S 106°36'11.2"E</t>
  </si>
  <si>
    <t>AR31639 - MIHE CELL (RV)</t>
  </si>
  <si>
    <t>6°20'25.2"S 106°38'9.6"E</t>
  </si>
  <si>
    <t>AR31805 - EVON CELL (P)</t>
  </si>
  <si>
    <t>6°17'35.2"S 106°33'33.3"E</t>
  </si>
  <si>
    <t>AR31807 - KHANSA CELL (P)</t>
  </si>
  <si>
    <t>6°17'39.5"S 106°33'26.9"E</t>
  </si>
  <si>
    <t>AR31878 - YENI CELL (RV)</t>
  </si>
  <si>
    <t>6°16'2.7"S 106°35'37.7"E</t>
  </si>
  <si>
    <t>AR31888 - RIDHO CELL (P)</t>
  </si>
  <si>
    <t>6°19'18.2"S 106°38'28.8"E</t>
  </si>
  <si>
    <t>AR31905 - AZIZ CELL (P)</t>
  </si>
  <si>
    <t>6°20'32.5"S 106°35'13.2"E</t>
  </si>
  <si>
    <t>AR31946 - RIZKI CELL (RV)</t>
  </si>
  <si>
    <t>6°15'29.8"S 106°37'27.1"E</t>
  </si>
  <si>
    <t>AR32447 - FARRAS (RV)</t>
  </si>
  <si>
    <t>6°21'21.7"S 106°37'49.3"E</t>
  </si>
  <si>
    <t>AR32604 - BAY CELL (RL)</t>
  </si>
  <si>
    <t>6°16'22.0"S 106°35'54.8"E</t>
  </si>
  <si>
    <t>AR33362 - DEWI CELL (P)</t>
  </si>
  <si>
    <t>6°16'48.2"S 106°37'28.1"E</t>
  </si>
  <si>
    <t>AR34346 - ARIES CELL (RV)</t>
  </si>
  <si>
    <t>6°18'55.2"S 106°39'5.0"E</t>
  </si>
  <si>
    <t>AR34875 - G-CELL (P)</t>
  </si>
  <si>
    <t>6°23'01.6"S 106°38'23.3"E</t>
  </si>
  <si>
    <t>AR35552 - HAMD CELL 1 (P)</t>
  </si>
  <si>
    <t>6°17'48.1"S 106°37'30.2"E</t>
  </si>
  <si>
    <t>AR35875 - TAQI (P)</t>
  </si>
  <si>
    <t>6°17'29.6"S 106°38'1.9"E</t>
  </si>
  <si>
    <t>AR35924 - KEYSAR CELL (P)</t>
  </si>
  <si>
    <t>6°16'38.1"S 106°37'31.7"E</t>
  </si>
  <si>
    <t>AR36066 - PUTRA CELL (P)</t>
  </si>
  <si>
    <t>6°17'29.2"S 106°38'17.5"E</t>
  </si>
  <si>
    <t>AR36328 - ARS PHONE CELL (R)</t>
  </si>
  <si>
    <t>6°18'11.1"S 106°36'44.3"E</t>
  </si>
  <si>
    <t>AR37919 - RAHMAT CELL (RL)</t>
  </si>
  <si>
    <t>6°20'06.3"S 106°36'00.5"E</t>
  </si>
  <si>
    <t>AR37954 - WARUNG IBU IMAS (RL)</t>
  </si>
  <si>
    <t>6°20'31.2"S 106°38'19.2"E</t>
  </si>
  <si>
    <t>AR37969 - MD BERKAH CELL (RL)</t>
  </si>
  <si>
    <t>6°18'34.0"S 106°35'18.3"E</t>
  </si>
  <si>
    <t>AR37977 - WARUNG FATIH (RL)</t>
  </si>
  <si>
    <t>6°19'32.9"S 106°35'58.0"E</t>
  </si>
  <si>
    <t>AR37978 - KAFI CELL (RL)</t>
  </si>
  <si>
    <t>6°17'24.5"S 106°35'37.1"E</t>
  </si>
  <si>
    <t>AR38152 - KEY CELL (RL)</t>
  </si>
  <si>
    <t>6°15'04.0"S 106°37'42.5"E</t>
  </si>
  <si>
    <t>AR38730 - 888CELL (RL)</t>
  </si>
  <si>
    <t>6°18'59.2"S 106°34'21.2"E</t>
  </si>
  <si>
    <t>AR38855 - WARKOP RAIHAN (RL)</t>
  </si>
  <si>
    <t>6°19'46.6"S 106°37'05.6"E</t>
  </si>
  <si>
    <t>AR39091 - IDAMAN CELL (RL)</t>
  </si>
  <si>
    <t>6°16'01.1"S 106°35'33.3"E</t>
  </si>
  <si>
    <t>AR39450 - NUPUS CELL (RL)</t>
  </si>
  <si>
    <t>6°18'18.5"S 106°35'03.0"E</t>
  </si>
  <si>
    <t>AR39477 - KYA CELL (RL)</t>
  </si>
  <si>
    <t>6°20'36.6"S 106°36'13.7"E</t>
  </si>
  <si>
    <t>AR39787 - ALFA CELL2 (RL)</t>
  </si>
  <si>
    <t>6°13'37.8"S 106°34'20.8"E</t>
  </si>
  <si>
    <t>AR39866 - PINGUCELL (RV)</t>
  </si>
  <si>
    <t>6°14'13.9"S 106°37'11.2"E</t>
  </si>
  <si>
    <t>AR39991 - BON CELL 94 (RL)</t>
  </si>
  <si>
    <t>6°21'25.5"S 106°38'07.2"E</t>
  </si>
  <si>
    <t>AR39992 - ASYITA CELL (RL)</t>
  </si>
  <si>
    <t>6°21'18.1"S 106°38'28.5"E</t>
  </si>
  <si>
    <t>AR40018 - AZA AZKA CELL (RL)</t>
  </si>
  <si>
    <t>(blank)</t>
  </si>
  <si>
    <t>AR40078 - 434 CELL (RL)</t>
  </si>
  <si>
    <t>6°20'46.1"S 106°38'17.8"E</t>
  </si>
  <si>
    <t>Febri Kurniawan</t>
  </si>
  <si>
    <t>AR00200 - IDA CELL 5 (P)</t>
  </si>
  <si>
    <t>6°21'13.5"S 106°32'28.2"E</t>
  </si>
  <si>
    <t>AR00606 - LELA CELL (2) (RV)</t>
  </si>
  <si>
    <t>6°21'5.3"S 106°33'41.3"E</t>
  </si>
  <si>
    <t>AR00892 - ELI CELL (MV)</t>
  </si>
  <si>
    <t>6°21'19.4"S 106°32'12.4"E</t>
  </si>
  <si>
    <t>AR00985 - ERNA CELL (6) (RV)</t>
  </si>
  <si>
    <t>6°21'21.8"S 106°31'46.7"E</t>
  </si>
  <si>
    <t>AR01229 - DIA CELL (4) (RV)</t>
  </si>
  <si>
    <t>6°21'23.3"S 106°31'45.7"E</t>
  </si>
  <si>
    <t>AR01786 - DAFA CELL (MV)</t>
  </si>
  <si>
    <t>6°23'10.2"S 106°33'12.0"E</t>
  </si>
  <si>
    <t>AR01795 - KRIBO CELL (RL)</t>
  </si>
  <si>
    <t>6°23'25.6"S 106°36'48.3"E</t>
  </si>
  <si>
    <t>AR01840 - SHALSA CELL (2) (P)</t>
  </si>
  <si>
    <t>6°21'47.7"S 106°31'24.8"E</t>
  </si>
  <si>
    <t>AR01843 - FAQIH CELL (MV)</t>
  </si>
  <si>
    <t>6°21'26.5"S 106°33'39.3"E</t>
  </si>
  <si>
    <t>AR01868 - ERRUM CELL (MV)</t>
  </si>
  <si>
    <t>6°21'27.9"S 106°31'31.2"E</t>
  </si>
  <si>
    <t>AR02933 - ALBY CELL (P)</t>
  </si>
  <si>
    <t>6°22'0.8"S 106°36'19.5"E</t>
  </si>
  <si>
    <t>AR03006 - WILLY CELL (RL)</t>
  </si>
  <si>
    <t>6°26'02.1"S 106°35'01.9"E</t>
  </si>
  <si>
    <t>AR03027 - NOMEN CELL (P)</t>
  </si>
  <si>
    <t>6°22'05.7"S 106°33'48.1"E</t>
  </si>
  <si>
    <t>AR04085 - UCA CELL (MV)</t>
  </si>
  <si>
    <t>6°21'48.6"S 106°33'14.5"E</t>
  </si>
  <si>
    <t>AR04747 - SAKIT JIWA CELL (P)</t>
  </si>
  <si>
    <t>6°21'14.9"S 106°33'3.3"E</t>
  </si>
  <si>
    <t>AR05458 - DEWI FATHIR CELL (P)</t>
  </si>
  <si>
    <t>6°22'21.6"S 106°33'56.4"E</t>
  </si>
  <si>
    <t>AR06191 - TANTI CELL (MV)</t>
  </si>
  <si>
    <t>6°21'49.9"S 106°33'0.8"E</t>
  </si>
  <si>
    <t>AR07768 - YANTO CELL (MV)</t>
  </si>
  <si>
    <t>6°26'30.4"S 106°35'51.3"E</t>
  </si>
  <si>
    <t>AR11227 - SALWA CELL (MV)</t>
  </si>
  <si>
    <t>6°22'7.6"S 106°33'48.9"E</t>
  </si>
  <si>
    <t>AR11335 - RIZKY CIHEULANG (RV)</t>
  </si>
  <si>
    <t>6°25'03.6"S 106°35'21.2"E</t>
  </si>
  <si>
    <t>AR11717 - RIASYA CELL (RV)</t>
  </si>
  <si>
    <t>6°20'37.4"S 106°34'2.6"E</t>
  </si>
  <si>
    <t>AR14078 - BERKAH JAYA CELLULAR (MV)</t>
  </si>
  <si>
    <t>6°20'28.5"S 106°34'12.5"E</t>
  </si>
  <si>
    <t>AR14974 - GEVIN CELL (R)</t>
  </si>
  <si>
    <t>6°22'8.6"S 106°33'48.7"E</t>
  </si>
  <si>
    <t>AR15096 - ARA CELLULER (RV)</t>
  </si>
  <si>
    <t>6°23'18.0"S 106°36'46.6"E</t>
  </si>
  <si>
    <t>AR17529 - TRIYA CELL (P)</t>
  </si>
  <si>
    <t>6°21'21.6"S 106°31'46.8"E</t>
  </si>
  <si>
    <t>AR18511 - TOKO YOGA (RV)</t>
  </si>
  <si>
    <t>6°25'35.1"S 106°37'13.3"E</t>
  </si>
  <si>
    <t>AR18679 - CM CELL (MV)</t>
  </si>
  <si>
    <t>6°25'3.7"S 106°36'51.3"E</t>
  </si>
  <si>
    <t>AR21176 - SITI ROHMAH CELL (P)</t>
  </si>
  <si>
    <t>6°21'07.3"S 106°32'05.1"E</t>
  </si>
  <si>
    <t>AR22427 - SIFA CELL (P)</t>
  </si>
  <si>
    <t>6°21'24.6"S 106°31'36.2"E</t>
  </si>
  <si>
    <t>AR23272 - AGEN CELL (P)</t>
  </si>
  <si>
    <t>AR23593 - SHAKA CELL (P)</t>
  </si>
  <si>
    <t>6°21'6.5"S 106°33'44.4"E</t>
  </si>
  <si>
    <t>AR24253 - BAROKAH CELL (RV)</t>
  </si>
  <si>
    <t>6°26'07.8"S 106°35'29.4"E</t>
  </si>
  <si>
    <t>AR24533 - ARFAN99 CELL (RV)</t>
  </si>
  <si>
    <t>6°21'31.3"S 106°31'25.1"E</t>
  </si>
  <si>
    <t>AR24665 - MINI TOSERBA (RV)</t>
  </si>
  <si>
    <t>6°23'31.0"S 106°35'10.3"E</t>
  </si>
  <si>
    <t>AR25388 - RUDI CELL (RV)</t>
  </si>
  <si>
    <t>6°21'55.6"S 106°35'24.9"E</t>
  </si>
  <si>
    <t>AR25557 - VIRA (R)</t>
  </si>
  <si>
    <t>6°24'25.8"S 106°37'42.9"E</t>
  </si>
  <si>
    <t>AR25623 - SANTIKA CELL (RV)</t>
  </si>
  <si>
    <t>6°21'14.1"S 106°33'40.2"E</t>
  </si>
  <si>
    <t>AR25682 - ADITYA CELL (RV)</t>
  </si>
  <si>
    <t>6°21'25.2"S 106°31'30.0"E</t>
  </si>
  <si>
    <t>AR25990 - NURYANI CELL (RL)</t>
  </si>
  <si>
    <t>6°21'09.5"S 106°31'22.8"E</t>
  </si>
  <si>
    <t>AR26368 - IBNU PRIMA (P)</t>
  </si>
  <si>
    <t>6°21'02.5"S 106°34'38.8"E</t>
  </si>
  <si>
    <t>AR26391 - RIASYA PRIMA (P)</t>
  </si>
  <si>
    <t>6°20'37.6"S 106°34'02.2"E</t>
  </si>
  <si>
    <t>AR28166 - TOKO DAFA (RV)</t>
  </si>
  <si>
    <t>6°21'51.2"S 106°33'16.2"E</t>
  </si>
  <si>
    <t>AR28327 - PUTRA CELL2 (P)</t>
  </si>
  <si>
    <t>6°21'25.1"S 106°33'45.6"E</t>
  </si>
  <si>
    <t>AR31058 - INDRAWATI CELL (P)</t>
  </si>
  <si>
    <t>6°21'07.2"S 106°33'26.0"E</t>
  </si>
  <si>
    <t>AR32063 - REY CELL (RL)</t>
  </si>
  <si>
    <t>6°21'10.0"S 106°31'30.2"E</t>
  </si>
  <si>
    <t>AR32668 - QUEEN CELL (P)</t>
  </si>
  <si>
    <t>6°22'1.2"S 106°35'11.3"E</t>
  </si>
  <si>
    <t>AR32706 - RIDHO CELL (P)</t>
  </si>
  <si>
    <t>6°22'8.6"S 106°33'46.7"E</t>
  </si>
  <si>
    <t>AR32916 - FAMILLY CELL (P)</t>
  </si>
  <si>
    <t>6°22'12.6"S 106°33'49.3"E</t>
  </si>
  <si>
    <t>AR34336 - TIGA PUTRI CELL (R)</t>
  </si>
  <si>
    <t>6°21'41.5"S 106°35'6.3"E</t>
  </si>
  <si>
    <t>AR34946 - ARDIYANSYAH (P)</t>
  </si>
  <si>
    <t>6°24'35.0"S 106°35'13.0"E</t>
  </si>
  <si>
    <t>AR35285 - ICIH CELL (P)</t>
  </si>
  <si>
    <t>6°20'43.4"S 106°34'03.8"E</t>
  </si>
  <si>
    <t>AR36119 - AINI CELL (P)</t>
  </si>
  <si>
    <t>6°21'22.8"S 106°33'22.9"E</t>
  </si>
  <si>
    <t>AR36275 - DY CELL (P)</t>
  </si>
  <si>
    <t>6°22'05.7"S 106°33'47.8"E</t>
  </si>
  <si>
    <t>AR36538 - RIA CELL (P)</t>
  </si>
  <si>
    <t>6°22'12.4"S 106°33'50.0"E</t>
  </si>
  <si>
    <t>AR36547 - BENNYCALL (RL)</t>
  </si>
  <si>
    <t>6°22'32.2"S 106°35'23.2"E</t>
  </si>
  <si>
    <t>AR36672 - RANS (P)</t>
  </si>
  <si>
    <t>6°21'00.9"S 106°31'40.3"E</t>
  </si>
  <si>
    <t>AR36833 - ARINI CELL (P)</t>
  </si>
  <si>
    <t>6°22'19.2"S 106°33'41.7"E</t>
  </si>
  <si>
    <t>AR38848 - MIFTAH CELL (P)</t>
  </si>
  <si>
    <t>6°21'23.9"S 106°31'29.6"E</t>
  </si>
  <si>
    <t>AR39068 - FAMILY CELL 3 (P)</t>
  </si>
  <si>
    <t>6°23'06.5"S 106°32'05.3"E</t>
  </si>
  <si>
    <t>AR39503 - IBN CELL (RL)</t>
  </si>
  <si>
    <t>6°21'15.0"S 106°34'44.2"E</t>
  </si>
  <si>
    <t>AR39596 - RAYA CELL (P)</t>
  </si>
  <si>
    <t>6°21'21.5"S 106°36'8.7"E</t>
  </si>
  <si>
    <t>AR39703 - SHAZIA CELL (P)</t>
  </si>
  <si>
    <t>6°21'15.3"S 106°34'44.2"E</t>
  </si>
  <si>
    <t>AR39802 - LEKA STORE (RL)</t>
  </si>
  <si>
    <t>6°21'39.1"S 106°34'43.8"E</t>
  </si>
  <si>
    <t>AR39996 - EZRA CELL (P)</t>
  </si>
  <si>
    <t>6°22'01.2"S 106°33'27.4"E</t>
  </si>
  <si>
    <t>Hupron</t>
  </si>
  <si>
    <t>AR00013 - RIKA CELL (RV)</t>
  </si>
  <si>
    <t>6°17'10.2"S 106°41'00.7"E</t>
  </si>
  <si>
    <t>AR00026 - SAMSIAH CELL (RV)</t>
  </si>
  <si>
    <t>6°18'02.9"S 106°40'23.4"E</t>
  </si>
  <si>
    <t>AR00065 - OUTSIDER CELL (RV)</t>
  </si>
  <si>
    <t>6°17'13.5"S 106°40'18.9"E</t>
  </si>
  <si>
    <t>AR00092 - RAHMA SANIA (MV)</t>
  </si>
  <si>
    <t>6°18'15.7"S 106°41'12.5"E</t>
  </si>
  <si>
    <t>AR00179 - FABIAN CELL (P)</t>
  </si>
  <si>
    <t>6°17'35.3"S 106°40'19.1"E</t>
  </si>
  <si>
    <t>AR00300 - SLANKY CELL (RV)</t>
  </si>
  <si>
    <t>6°17'10.7"S 106°40'18.5"E</t>
  </si>
  <si>
    <t>AR00619 - NOVEL CELL (RV)</t>
  </si>
  <si>
    <t>6°17'39.7"S 106°41'44.3"E</t>
  </si>
  <si>
    <t>AR00696 - 27 CELL (RV)</t>
  </si>
  <si>
    <t>6°17'47.5"S 106°39'43.7"E</t>
  </si>
  <si>
    <t>AR00871 - ZALFA CELL (RL)</t>
  </si>
  <si>
    <t>6°18'23.8"S 106°41'3.5"E</t>
  </si>
  <si>
    <t>AR01772 - ANISSA MASTER (M)</t>
  </si>
  <si>
    <t>6°17'18.1"S 106°41'13.8"E</t>
  </si>
  <si>
    <t>AR01776 - KEMBAR RELOAD (MV)</t>
  </si>
  <si>
    <t>6°18'22.2"S 106°40'04.6"E</t>
  </si>
  <si>
    <t>AR01782 - BANGKIT CELL (MV)</t>
  </si>
  <si>
    <t>6°17'47.8"S 106°41'25.9"E</t>
  </si>
  <si>
    <t>AR01805 - FIKRI CELL (P)</t>
  </si>
  <si>
    <t>6°19'19.5"S 106°41'49.3"E</t>
  </si>
  <si>
    <t>AR02656 - CHALISTA CELL (RV)</t>
  </si>
  <si>
    <t>6°19'4.2"S 106°40'39.1"E</t>
  </si>
  <si>
    <t>AR02672 - ESA RELOAD (MV)</t>
  </si>
  <si>
    <t>6°16'54.7"S 106°40'44.5"E</t>
  </si>
  <si>
    <t>AR02872 - ALFATH REZA (RV)</t>
  </si>
  <si>
    <t>6°17'15.5"S 106°40'57.7"E</t>
  </si>
  <si>
    <t>AR03978 - HAIKAL RIZKY CELL (RV)</t>
  </si>
  <si>
    <t>6°18'2.9"S 106°40'23.4"E</t>
  </si>
  <si>
    <t>AR04261 - DAFA REVA CELL (MV)</t>
  </si>
  <si>
    <t>6°19'11.4"S 106°40'55.0"E</t>
  </si>
  <si>
    <t>AR04365 - YUSUF FAHMI CELL (RV)</t>
  </si>
  <si>
    <t>6°17'57.9"S 106°41'23.7"E</t>
  </si>
  <si>
    <t>AR05307 - NIRBITA CELL (RV)</t>
  </si>
  <si>
    <t>AR05343 - DAFFA CELL (RV)</t>
  </si>
  <si>
    <t>6°18'11.3"S 106°40'21.3"E</t>
  </si>
  <si>
    <t>AR06573 - M KANIRIN (R)</t>
  </si>
  <si>
    <t>6°19'0.6"S 106°39'54.1"E</t>
  </si>
  <si>
    <t>AR07342 - AQILA MART (RV)</t>
  </si>
  <si>
    <t>6°13'58.7"S 106°38'40.7"E</t>
  </si>
  <si>
    <t>AR08245 - BOY CELL (RV)</t>
  </si>
  <si>
    <t>6°21'19.6"S 106°40'41.3"E</t>
  </si>
  <si>
    <t>AR08300 - HENDI CELL (MV)</t>
  </si>
  <si>
    <t>6°20'23.8"S 106°40'10.3"E</t>
  </si>
  <si>
    <t>AR08378 - SUCI CELL (RL)</t>
  </si>
  <si>
    <t>6°18'20.2"S 106°40'42.8"E</t>
  </si>
  <si>
    <t>AR08437 - M IBRAHIM (RV)</t>
  </si>
  <si>
    <t>6°19'17.1"S 106°39'51.1"E</t>
  </si>
  <si>
    <t>AR08740 - WARTEL PULSA (RV)</t>
  </si>
  <si>
    <t>6°20'37.0"S 106°40'7.8"E</t>
  </si>
  <si>
    <t>AR09007 - ZAHRA RMZ CELL (RL)</t>
  </si>
  <si>
    <t>6°18'19.5"S 106°41'21.4"E</t>
  </si>
  <si>
    <t>AR10796 - NCUM CELL (RV)</t>
  </si>
  <si>
    <t>6°13'30.8"S 106°38'48.4"E</t>
  </si>
  <si>
    <t>AR10963 - AKBAR DANI CELL (RV)</t>
  </si>
  <si>
    <t>6°18'49.2"S 106°41'15.1"E</t>
  </si>
  <si>
    <t>AR11057 - TAMY CELL (MV)</t>
  </si>
  <si>
    <t>6°19'47.8"S 106°41'49.4"E</t>
  </si>
  <si>
    <t>AR11285 - HESTI HERLINA (RV)</t>
  </si>
  <si>
    <t>6°17'50.0"S 106°41'11.9"E</t>
  </si>
  <si>
    <t>AR11542 - CISADANE CELL (P)</t>
  </si>
  <si>
    <t>6°19'14.8"S 106°39'48.8"E</t>
  </si>
  <si>
    <t>AR11893 - AFFAN CELL (RV)</t>
  </si>
  <si>
    <t>6°17'52.6"S 106°41'5.8"E</t>
  </si>
  <si>
    <t>AR12682 - AFIFAH CELL (RV)</t>
  </si>
  <si>
    <t>6°19'01.7"S 106°39'49.4"E</t>
  </si>
  <si>
    <t>AR13432 - AZIZA CELL (RV)</t>
  </si>
  <si>
    <t>6°20'7.9"S 106°41'29.8"E</t>
  </si>
  <si>
    <t>AR14047 - JENNY CELL (R)</t>
  </si>
  <si>
    <t>6°19'04.7"S 106°40'09.4"E</t>
  </si>
  <si>
    <t>AR14313 - YULITA CELL (RV)</t>
  </si>
  <si>
    <t>6°19'34.7"S 106°40'00.1"E</t>
  </si>
  <si>
    <t>AR14934 - BERKAT CELL (MV)</t>
  </si>
  <si>
    <t>6°17'50.4"S 106°41'58.2"E</t>
  </si>
  <si>
    <t>AR16025 - IHSAN CELL (RV)</t>
  </si>
  <si>
    <t>6°19'56.1"S 106°39'30.7"E</t>
  </si>
  <si>
    <t>AR16122 - FIRDAUS CELL (RV)</t>
  </si>
  <si>
    <t>6°18'28.1"S 106°40'04.6"E</t>
  </si>
  <si>
    <t>AR16235 - FARRIL CELL (RV)</t>
  </si>
  <si>
    <t>6°18'53.2"S 106°39'45.3"E</t>
  </si>
  <si>
    <t>AR17211 - BARAKALLAH CELL (RV)</t>
  </si>
  <si>
    <t>6°20'40.6"S 106°42'24.9"E</t>
  </si>
  <si>
    <t>AR17783 - ENDAH CELL (MV)</t>
  </si>
  <si>
    <t>6°19'15.3"S 106°42'01.6"E</t>
  </si>
  <si>
    <t>AR19198 - NANA CELL (RV)</t>
  </si>
  <si>
    <t>6°18'43.5"S 106°42'9.1"E</t>
  </si>
  <si>
    <t>AR22403 - VIA CELL (RL)</t>
  </si>
  <si>
    <t>6°19'59.1"S 106°39'46.6"E</t>
  </si>
  <si>
    <t>AR22470 - WANDA CELL (RV)</t>
  </si>
  <si>
    <t>6°20'7.5"S 106°39'54.2"E</t>
  </si>
  <si>
    <t>AR23303 - DARMAN CELL (R)</t>
  </si>
  <si>
    <t>6°20'8.4"S 106°41'29.9"E</t>
  </si>
  <si>
    <t>AR23565 - ANE CELL (RV)</t>
  </si>
  <si>
    <t>6°17'10.8"S 106°40'12.1"E</t>
  </si>
  <si>
    <t>AR24196 - BIMS CELL (P)</t>
  </si>
  <si>
    <t>6°17'39.1"S 106°38'05.0"E</t>
  </si>
  <si>
    <t>AR24483 - NIA CELL (RV)</t>
  </si>
  <si>
    <t>6°20'2.1"S 106°39'35.8"E</t>
  </si>
  <si>
    <t>AR24843 - NISA CELL (RV)</t>
  </si>
  <si>
    <t>6°18'33.2"S 106°41'5.5"E</t>
  </si>
  <si>
    <t>AR27383 - ANNISA (RV)</t>
  </si>
  <si>
    <t>6°18'41.3"S 106°41'03.3"E</t>
  </si>
  <si>
    <t>AR27822 - RAMDAN CELL (RL)</t>
  </si>
  <si>
    <t>6°13'55.5"S 106°41'2.7"E</t>
  </si>
  <si>
    <t>AR28144 - MANG AYI (RV)</t>
  </si>
  <si>
    <t>6°18'19.2"S 106°39'47.3"E</t>
  </si>
  <si>
    <t>AR28183 - SUGIANTO CELL (P)</t>
  </si>
  <si>
    <t>6°19'26.6"S 106°39'48.9"E</t>
  </si>
  <si>
    <t>AR28185 - TOKO SISI (RV)</t>
  </si>
  <si>
    <t>6°19'22.8"S 106°40'02.2"E</t>
  </si>
  <si>
    <t>AR28324 - LUSI CELL (RV)</t>
  </si>
  <si>
    <t>6°16'44.3"S 106°40'53.9"E</t>
  </si>
  <si>
    <t>AR29343 - HIKMAH CELL (RV)</t>
  </si>
  <si>
    <t>6°12'28.8"S 106°37'52.1"E</t>
  </si>
  <si>
    <t>AR29473 - ATHAYA RIZQIA (P)</t>
  </si>
  <si>
    <t>6°19'23.5"S 106°40'08.0"E</t>
  </si>
  <si>
    <t>AR30035 - WARUNG BOROKAH (RV)</t>
  </si>
  <si>
    <t>6°19'11.5"S 106°39'56.6"E</t>
  </si>
  <si>
    <t>AR30142 - FATHIAN CELL (RV)</t>
  </si>
  <si>
    <t>6°17'14.8"S 106°40'14.0"E</t>
  </si>
  <si>
    <t>AR30586 - SUMARNI (RV)</t>
  </si>
  <si>
    <t>6°20'36.4"S 106°40'48.0"E</t>
  </si>
  <si>
    <t>AR30714 - KUNINGAN 2 CELL (RV)</t>
  </si>
  <si>
    <t>6°18'49.9"S 106°42'8.0"E</t>
  </si>
  <si>
    <t>AR30811 - NC SMARTPHONE (RV)</t>
  </si>
  <si>
    <t>6°12'28.9"S 106°37'52.0"E</t>
  </si>
  <si>
    <t>AR30859 - NAOMI CELL (RV)</t>
  </si>
  <si>
    <t>6°17'48.4"S 106°39'47.1"E</t>
  </si>
  <si>
    <t>AR30951 - TETY CELL (RL)</t>
  </si>
  <si>
    <t>6°12'58.7"S 106°38'5.8"E</t>
  </si>
  <si>
    <t>AR30958 - DIDIK BUDIAWAN (RV)</t>
  </si>
  <si>
    <t>6°18'13.1"S 106°41'25.4"E</t>
  </si>
  <si>
    <t>AR30970 - RIA CELL (P)</t>
  </si>
  <si>
    <t>6°16'21.4"S 106°40'13.8"E</t>
  </si>
  <si>
    <t>AR31011 - ADAM CELL (RV)</t>
  </si>
  <si>
    <t>6°19'34.1"S 106°41'38.2"E</t>
  </si>
  <si>
    <t>AR31100 - DIDON (RL)</t>
  </si>
  <si>
    <t>6°14'12.3"S 106°41'10.3"E</t>
  </si>
  <si>
    <t>AR31196 - TOKO AQILA (RV)</t>
  </si>
  <si>
    <t>6°20'54.8"S 106°40'18.5"E</t>
  </si>
  <si>
    <t>AR31259 - WARUNG BANG DUREN (R)</t>
  </si>
  <si>
    <t>6°18'31.1"S 106°40'44.6"E</t>
  </si>
  <si>
    <t>AR31281 - ADELIA CELL (RV)</t>
  </si>
  <si>
    <t>6°19'22.0"S 106°40'08.0"E</t>
  </si>
  <si>
    <t>AR31331 - ADELIA CELL (P)</t>
  </si>
  <si>
    <t>6°19'23.5"S 106°40'07.8"E</t>
  </si>
  <si>
    <t>AR31472 - HOME CELL (P)</t>
  </si>
  <si>
    <t>6°18'33.5"S 106°41'08.3"E</t>
  </si>
  <si>
    <t>AR31513 - BRIGHTECH CELLULAR (R)</t>
  </si>
  <si>
    <t>6°18'45.3"S 106°41'30.4"E</t>
  </si>
  <si>
    <t>AR31563 - MULIA CELL 2 (RV)</t>
  </si>
  <si>
    <t>6°14'23.2"S 106°39'38.9"E</t>
  </si>
  <si>
    <t>AR31640 - WARUNG QILA (RV)</t>
  </si>
  <si>
    <t>6°18'35.5"S 106°39'56.4"E</t>
  </si>
  <si>
    <t>AR31751 - HOME 2 CELL (P)</t>
  </si>
  <si>
    <t>6°18'33.0"S 106°41'8.0"E</t>
  </si>
  <si>
    <t>AR31910 - YULITTA RELOAD 2 (P)</t>
  </si>
  <si>
    <t>6°19'28.1"S 106°39'55.7"E</t>
  </si>
  <si>
    <t>AR31982 - WARUNG HOLIFAH (RL)</t>
  </si>
  <si>
    <t>6°19'21.0"S 106°39'47.4"E</t>
  </si>
  <si>
    <t>AR32141 - FRANS CELL (RV)</t>
  </si>
  <si>
    <t>6°18'24.3"S 106°40'50.6"E</t>
  </si>
  <si>
    <t>AR32179 - WARUNG FATHOR (RV)</t>
  </si>
  <si>
    <t>6°19'22.1"S 106°39'44.7"E</t>
  </si>
  <si>
    <t>AR32381 - NAJWAN CELL (RL)</t>
  </si>
  <si>
    <t>6°20'30.9"S 106°40'09.3"E</t>
  </si>
  <si>
    <t>AR32500 - HOME 3 CELL (P)</t>
  </si>
  <si>
    <t>6°18'33.1"S 106°41'8.2"E</t>
  </si>
  <si>
    <t>AR32878 - WARUNG RISKIAH (R)</t>
  </si>
  <si>
    <t>6°18'13.9"S 106°39'45.3"E</t>
  </si>
  <si>
    <t>AR33036 - RIDWAN2 (P)</t>
  </si>
  <si>
    <t>6°19'53.9"S 106°39'53.1"E</t>
  </si>
  <si>
    <t>AR33546 - THIO CELL (RV)</t>
  </si>
  <si>
    <t>6°17'2.4"S 106°40'53.7"E</t>
  </si>
  <si>
    <t>AR33706 - AMANAH CELL (P)</t>
  </si>
  <si>
    <t>6°15'54.4"S 106°39'22.1"E</t>
  </si>
  <si>
    <t>AR34033 - TOKO AUDRI (R)</t>
  </si>
  <si>
    <t>6°15'30.7"S 106°40'32.7"E</t>
  </si>
  <si>
    <t>AR34221 - WARUNG VINO (P)</t>
  </si>
  <si>
    <t>6°19'24.2"S 106°39'45.4"E</t>
  </si>
  <si>
    <t>AR34440 - MN CELL (R)</t>
  </si>
  <si>
    <t>6°19'31.9"S 106°41'17.5"E</t>
  </si>
  <si>
    <t>AR34452 - TOKO ANGGI (P)</t>
  </si>
  <si>
    <t>6°18'18.7"S 106°39'42.4"E</t>
  </si>
  <si>
    <t>AR34470 - REI CELL (MV)</t>
  </si>
  <si>
    <t>6°20'52.3"S 106°41'17.8"E</t>
  </si>
  <si>
    <t>AR34908 - HOME CELL 1 (P)</t>
  </si>
  <si>
    <t>6°18'32.8"S 106°41'8.0"E</t>
  </si>
  <si>
    <t>AR35122 - MITA CEL (P)</t>
  </si>
  <si>
    <t>6°13'46.9"S 106°38'59.4"E</t>
  </si>
  <si>
    <t>AR35163 - AMANAH 2 CELL (P)</t>
  </si>
  <si>
    <t>AR35247 - ROSI KAMIL (P)</t>
  </si>
  <si>
    <t>6°20'16.3"S 106°39'56.4"E</t>
  </si>
  <si>
    <t>AR35777 - ALISYA CELL (R)</t>
  </si>
  <si>
    <t>6°17'55.6"S 106°41'29.2"E</t>
  </si>
  <si>
    <t>AR35784 - TOKO ANDIKA 08 (RV)</t>
  </si>
  <si>
    <t>6°15'43.2"S 106°40'26.8"E</t>
  </si>
  <si>
    <t>AR36173 - HOMECELL (P)</t>
  </si>
  <si>
    <t>AR36474 - CISADANE CELL 2 (P)</t>
  </si>
  <si>
    <t>6°19'7.8"S 106°39'47.3"E</t>
  </si>
  <si>
    <t>AR36529 - IRMA CELL (RL)</t>
  </si>
  <si>
    <t>6°19'24.8"S 106°39'46.9"E</t>
  </si>
  <si>
    <t>AR36563 - TOKO HERU (P)</t>
  </si>
  <si>
    <t>6°12'34.2"S 106°37'57.9"E</t>
  </si>
  <si>
    <t>AR36681 - ERA PHONE CELL (P)</t>
  </si>
  <si>
    <t>6°16'43.5"S 106°40'3.1"E</t>
  </si>
  <si>
    <t>AR37513 - BUDIN (P)</t>
  </si>
  <si>
    <t>6°20'26.0"S 106°40'07.3"E</t>
  </si>
  <si>
    <t>AR37622 - TOKO ADARAN (RL)</t>
  </si>
  <si>
    <t>6°15'54.7"S 106°40'20.7"E</t>
  </si>
  <si>
    <t>AR38070 - WARUNG BABEH (RL)</t>
  </si>
  <si>
    <t>6°19'37.5"S 106°39'54.7"E</t>
  </si>
  <si>
    <t>AR38551 - NURJANAH (P)</t>
  </si>
  <si>
    <t>6°19'19.8"S 106°41'50.0"E</t>
  </si>
  <si>
    <t>AR38621 - NINA (RL)</t>
  </si>
  <si>
    <t>6°18'25.5"S 106°40'08.0"E</t>
  </si>
  <si>
    <t>AR38639 - GOGO STORE FROZEN (RL)</t>
  </si>
  <si>
    <t>6°20'14.3"S 106°40'01.6"E</t>
  </si>
  <si>
    <t>AR39397 - AINI CELL (RL)</t>
  </si>
  <si>
    <t>6°18'10.1"S 106°39'48.6"E</t>
  </si>
  <si>
    <t>AR39498 - WARKOM CELL (RL)</t>
  </si>
  <si>
    <t>6°17'12.8"S 106°40'20.1"E</t>
  </si>
  <si>
    <t>AR39584 - SS CELL (RL)</t>
  </si>
  <si>
    <t>6°17'16.5"S 106°40'15.0"E</t>
  </si>
  <si>
    <t>AR39640 - WR. UCOK LUBIS (RL)</t>
  </si>
  <si>
    <t>6°19'50.7"S 106°39'41.9"E</t>
  </si>
  <si>
    <t>AR39828 - WARUNG UCOK LUBIS (RL)</t>
  </si>
  <si>
    <t>6°20'53.1"S 106°40'46.4"E</t>
  </si>
  <si>
    <t>AR39984 - TOKO SEMBAKO JAYA BERKAH (RL)</t>
  </si>
  <si>
    <t>6°19'20.0"S 106°40'05.4"E</t>
  </si>
  <si>
    <t>AR40046 - ZIDAN CELL GROUP (RL)</t>
  </si>
  <si>
    <t>6°15'29.5"S 106°40'54.5"E</t>
  </si>
  <si>
    <t>Khoirul Anan</t>
  </si>
  <si>
    <t>AR08713 - IBAS CELL (RL)</t>
  </si>
  <si>
    <t>6°22'14.3"S 106°41'53.2"E</t>
  </si>
  <si>
    <t>AR13644 - BENDIKCELL (RV)</t>
  </si>
  <si>
    <t>6°21'51.3"S 106°43'20.5"E</t>
  </si>
  <si>
    <t>AR13789 - YOGI CELL (RV)</t>
  </si>
  <si>
    <t>6°23'1.8"S 106°40'32.9"E</t>
  </si>
  <si>
    <t>AR14882 - TOKO SURYA (RV)</t>
  </si>
  <si>
    <t>6°22'28.7"S 106°40'26.0"E</t>
  </si>
  <si>
    <t>AR15073 - KURNIA CELL (RV)</t>
  </si>
  <si>
    <t>6°23'44.3"S 106°41'10.0"E</t>
  </si>
  <si>
    <t>AR15097 - PALESTINA CELL (RV)</t>
  </si>
  <si>
    <t>6°25'12.5"S 106°43'48.0"E</t>
  </si>
  <si>
    <t>AR15139 - TOKO WAWAN (RV)</t>
  </si>
  <si>
    <t>6°27'52.4"S 106°39'35.2"E</t>
  </si>
  <si>
    <t>AR15230 - TOKO RANGKUTI JAYA (RV)</t>
  </si>
  <si>
    <t>6°24'47.2"S 106°43'23.2"E</t>
  </si>
  <si>
    <t>AR15267 - BANYU CELL (MV)</t>
  </si>
  <si>
    <t>6°26'46.0"S 106°41'09.5"E</t>
  </si>
  <si>
    <t>AR16671 - SARI CELL (MV)</t>
  </si>
  <si>
    <t>6°23'11.7"S 106°41'07.1"E</t>
  </si>
  <si>
    <t>AR17761 - A2L CELL (RV)</t>
  </si>
  <si>
    <t>6°24'26.6"S 106°43'04.4"E</t>
  </si>
  <si>
    <t>AR17765 - VERA CELL (RV)</t>
  </si>
  <si>
    <t>6°24'06.6"S 106°42'40.9"E</t>
  </si>
  <si>
    <t>AR17849 - AIDIL CELL (RV)</t>
  </si>
  <si>
    <t>6°24'08.9"S 106°44'03.3"E</t>
  </si>
  <si>
    <t>AR17871 - PERMATA CELL (RV)</t>
  </si>
  <si>
    <t>6°24'25.3"S 106°43'32.6"E</t>
  </si>
  <si>
    <t>AR17924 - NADIRA CELL (M2)</t>
  </si>
  <si>
    <t>6°26'20.6"S 106°41'59.9"E</t>
  </si>
  <si>
    <t>AR17955 - BM CELL (RV)</t>
  </si>
  <si>
    <t>6°24'55.4"S 106°44'16.1"E</t>
  </si>
  <si>
    <t>AR18171 - NCA29 (RL)</t>
  </si>
  <si>
    <t>6°25'28.3"S 106°44'01.5"E</t>
  </si>
  <si>
    <t>AR18172 - AMRINA CELL (MV)</t>
  </si>
  <si>
    <t>6°25'41.5"S 106°44'11.1"E</t>
  </si>
  <si>
    <t>AR18196 - SALUT CELL (RL)</t>
  </si>
  <si>
    <t>6°25'36.5"S 106°42'40.8"E</t>
  </si>
  <si>
    <t>AR18324 - DUDY CELL (RV)</t>
  </si>
  <si>
    <t>6°26'28.3"S 106°43'42.8"E</t>
  </si>
  <si>
    <t>AR18326 - ELA CELL (MV)</t>
  </si>
  <si>
    <t>6°26'51.4"S 106°42'21.1"E</t>
  </si>
  <si>
    <t>AR18395 - KJ CELL (RV)</t>
  </si>
  <si>
    <t>6°26'30.5"S 106°41'41.7"E</t>
  </si>
  <si>
    <t>AR18399 - ONLEN CELL (RV)</t>
  </si>
  <si>
    <t>6°25'37.2"S 106°39'29.2"E</t>
  </si>
  <si>
    <t>AR18601 - TOKO IBU ENDANG (RL)</t>
  </si>
  <si>
    <t>6°28'59.9"S 106°40'37.7"E</t>
  </si>
  <si>
    <t>AR18791 - NOUVAL CELL (RV)</t>
  </si>
  <si>
    <t>6°22'09.7"S 106°40'21.3"E</t>
  </si>
  <si>
    <t>AR18844 - KEKEY CELL (RV)</t>
  </si>
  <si>
    <t>6°24'14.4"S 106°43'28.6"E</t>
  </si>
  <si>
    <t>AR18922 - WIWIN CELL (RV)</t>
  </si>
  <si>
    <t>6°25'11.4"S 106°39'25.6"E</t>
  </si>
  <si>
    <t>AR19022 - DEWI CELL (P)</t>
  </si>
  <si>
    <t>6°26'27.7"S 106°41'47.9"E</t>
  </si>
  <si>
    <t>AR19430 - KAKA CELL (P)</t>
  </si>
  <si>
    <t>6°25'54.2"S 106°43'55.9"E</t>
  </si>
  <si>
    <t>AR19682 - ARKHAN CELL (R)</t>
  </si>
  <si>
    <t>6°27'26.8"S 106°44'05.5"E</t>
  </si>
  <si>
    <t>AR19920 - RIO CELL (RV)</t>
  </si>
  <si>
    <t>6°25'23.9"S 106°39'25.5"E</t>
  </si>
  <si>
    <t>AR19935 - ALFAN CELL (R)</t>
  </si>
  <si>
    <t>AR20001 - AZLAN CELL (RL)</t>
  </si>
  <si>
    <t>6°25'16.8"S 106°40'20.4"E</t>
  </si>
  <si>
    <t>AR20140 - UYA CELL (RV)</t>
  </si>
  <si>
    <t>6°25'32.5"S 106°39'26.7"E</t>
  </si>
  <si>
    <t>AR21260 - AZMI CELL (RV)</t>
  </si>
  <si>
    <t>6°26'27.6"S 106°44'00.3"E</t>
  </si>
  <si>
    <t>AR21552 - FATHIR CELL (P)</t>
  </si>
  <si>
    <t>6°22'50.4"S 106°41'17.9"E</t>
  </si>
  <si>
    <t>AR22514 - FAIZCELL (RL)</t>
  </si>
  <si>
    <t>6°25'45.5"S 106°42'18.5"E</t>
  </si>
  <si>
    <t>AR22585 - DARA CELL (R)</t>
  </si>
  <si>
    <t>6°30'4.9"S 106°42'38.8"E</t>
  </si>
  <si>
    <t>AR23307 - HELMI CELL (MV)</t>
  </si>
  <si>
    <t>6°25'07.8"S 106°43'55.5"E</t>
  </si>
  <si>
    <t>AR25827 - FADIL CELL (P)</t>
  </si>
  <si>
    <t>6°25'13.4"S 106°43'39.2"E</t>
  </si>
  <si>
    <t>AR26369 - DUDI CELL 2 (P)</t>
  </si>
  <si>
    <t>6°26'41.8"S 106°43'46.3"E</t>
  </si>
  <si>
    <t>AR26923 - MIZZA CALL (RV)</t>
  </si>
  <si>
    <t>6°27'07.9"S 106°43'26.4"E</t>
  </si>
  <si>
    <t>AR27206 - SYAHDAN CELL (RL)</t>
  </si>
  <si>
    <t>6°23'55.0"S 106°42'25.5"E</t>
  </si>
  <si>
    <t>AR27587 - IRA AMELIA (RL)</t>
  </si>
  <si>
    <t>6°25'33.8"S 106°40'33.6"E</t>
  </si>
  <si>
    <t>AR27875 - SANZCELL (R)</t>
  </si>
  <si>
    <t>6°22'06.7"S 106°44'34.8"E</t>
  </si>
  <si>
    <t>AR27953 - NADHIFA (RL)</t>
  </si>
  <si>
    <t>6°24'07.9"S 106°44'20.9"E</t>
  </si>
  <si>
    <t>AR28523 - TOKO DAMA (RV)</t>
  </si>
  <si>
    <t>6°27'01.8"S 106°43'56.9"E</t>
  </si>
  <si>
    <t>AR28813 - RAISA CELL (RL)</t>
  </si>
  <si>
    <t>6°26'08.9"S 106°41'59.0"E</t>
  </si>
  <si>
    <t>AR29044 - WARUNG DK BERKAT (RL)</t>
  </si>
  <si>
    <t>6°25'12.7"S 106°43'56.9"E</t>
  </si>
  <si>
    <t>AR29585 - SARI CELL 2 (P)</t>
  </si>
  <si>
    <t>6°23'10.5"S 106°41'11.5"E</t>
  </si>
  <si>
    <t>AR30158 - QUEEN CELL (RV)</t>
  </si>
  <si>
    <t>6°23'03.7"S 106°40'49.8"E</t>
  </si>
  <si>
    <t>AR30646 - WARUNG ALAN (RV)</t>
  </si>
  <si>
    <t>6°23'59.8"S 106°42'33.4"E</t>
  </si>
  <si>
    <t>AR30774 - RAFAEL CELL (RV)</t>
  </si>
  <si>
    <t>6°21'41.0"S 106°43'25.4"E</t>
  </si>
  <si>
    <t>AR31814 - HUPS CELL (P)</t>
  </si>
  <si>
    <t>6°22'24.9"S 106°44'8.4"E</t>
  </si>
  <si>
    <t>AR31818 - DZIKRI CELL (RV)</t>
  </si>
  <si>
    <t>6°30'05.8"S 106°42'59.7"E</t>
  </si>
  <si>
    <t>AR34674 - WARUNG MPOK ELA (P)</t>
  </si>
  <si>
    <t>6°24'23.8"S 106°42'26.6"E</t>
  </si>
  <si>
    <t>AR34714 - APIH CELL (P)</t>
  </si>
  <si>
    <t>6°21'36.2"S 106°42'45.0"E</t>
  </si>
  <si>
    <t>AR35590 - QUEEN CELL 2 (RV)</t>
  </si>
  <si>
    <t>6°23'41.2"S 106°42'08.3"E</t>
  </si>
  <si>
    <t>AR36071 - AZKA CELL (R)</t>
  </si>
  <si>
    <t>6°23'04.9"S 106°40'11.7"E</t>
  </si>
  <si>
    <t>AR36091 - ARBI CELL (P)</t>
  </si>
  <si>
    <t>6°29'57.5"S 106°44'1.0"E</t>
  </si>
  <si>
    <t>AR36567 - ANGGUN CELL (P)</t>
  </si>
  <si>
    <t>6°23'28.7"S 106°43'18.6"E</t>
  </si>
  <si>
    <t>AR38144 - SUMBER RISKI 1 (P)</t>
  </si>
  <si>
    <t>6°24'34.2"S 106°42'59.6"E</t>
  </si>
  <si>
    <t>AR39680 - TOKO 2 PUTRA (RL)</t>
  </si>
  <si>
    <t>6°24'28.0"S 106°40'46.2"E</t>
  </si>
  <si>
    <t>AR39999 - DAP CELL (RL)</t>
  </si>
  <si>
    <t>6°24'19.9"S 106°42'45.2"E</t>
  </si>
  <si>
    <t>Mas Komarjaya</t>
  </si>
  <si>
    <t>AR00215 - ASMI CELL (RV)</t>
  </si>
  <si>
    <t>6°20'41.2"S 106°33'32.6"E</t>
  </si>
  <si>
    <t>AR00313 - ADI SUMARDI CELL (P)</t>
  </si>
  <si>
    <t>6°20'48.9"S 106°30'15.7"E</t>
  </si>
  <si>
    <t>AR01068 - DEWA CELL (6) (MV)</t>
  </si>
  <si>
    <t>6°21'18.5"S 106°27'47.1"E</t>
  </si>
  <si>
    <t>AR01179 - CHACHA CELL (2) (P)</t>
  </si>
  <si>
    <t>6°20'53.4"S 106°30'23.3"E</t>
  </si>
  <si>
    <t>AR01463 - AZKA CELL (MV)</t>
  </si>
  <si>
    <t>6°19'19.9"S 106°32'44.8"E</t>
  </si>
  <si>
    <t>AR01848 - BENSON SIRAIT CELL (P)</t>
  </si>
  <si>
    <t>6°20'22.8"S 106°33'52.8"E</t>
  </si>
  <si>
    <t>AR01872 - NICK CELL (MV)</t>
  </si>
  <si>
    <t>6°20'23.9"S 106°31'25.5"E</t>
  </si>
  <si>
    <t>AR01905 - GEMBEL CELL (MV)</t>
  </si>
  <si>
    <t>6°21'19.2"S 106°30'37.3"E</t>
  </si>
  <si>
    <t>AR04050 - RIVA CELL (MV)</t>
  </si>
  <si>
    <t>6°20'27.6"S 106°29'27.5"E</t>
  </si>
  <si>
    <t>AR04941 - NR CELL (P)</t>
  </si>
  <si>
    <t>6°19'58.4"S 106°28'02.5"E</t>
  </si>
  <si>
    <t>AR09235 - REHAN CELL (RV)</t>
  </si>
  <si>
    <t>6°20'26.7"S 106°33'09.4"E</t>
  </si>
  <si>
    <t>AR09381 - TIYAH CELL (P)</t>
  </si>
  <si>
    <t>6°20'47.4"S 106°31'29.0"E</t>
  </si>
  <si>
    <t>AR09494 - DENIAH CELL (RV)</t>
  </si>
  <si>
    <t>6°19'48.6"S 106°33'41.7"E</t>
  </si>
  <si>
    <t>AR09822 - CHEKER CELL (RV)</t>
  </si>
  <si>
    <t>6°19'53.4"S 106°33'17.8"E</t>
  </si>
  <si>
    <t>AR10081 - ARBI CELL (RV)</t>
  </si>
  <si>
    <t>6°19'47.2"S 106°31'17.7"E</t>
  </si>
  <si>
    <t>AR11551 - DIANZ CELL (P)</t>
  </si>
  <si>
    <t>6°19'41.9"S 106°27'10.0"E</t>
  </si>
  <si>
    <t>AR11679 - ULPAH CELL CELL (M2)</t>
  </si>
  <si>
    <t>AR11702 - YUNI CELL (RV)</t>
  </si>
  <si>
    <t>6°21'12.0"S 106°30'27.8"E</t>
  </si>
  <si>
    <t>AR12008 - NANDI CELL (RV)</t>
  </si>
  <si>
    <t>6°19'42.5"S 106°27'27.4"E</t>
  </si>
  <si>
    <t>AR12074 - IMAS AR CELL (RL)</t>
  </si>
  <si>
    <t>6°18'25.5"S 106°31'09.6"E</t>
  </si>
  <si>
    <t>AR12482 - MULYATI CELL (RV)</t>
  </si>
  <si>
    <t>6°19'34.7"S 106°32'56.8"E</t>
  </si>
  <si>
    <t>AR14731 - AZ CELL (P)</t>
  </si>
  <si>
    <t>6°21'17.3"S 106°28'56.6"E</t>
  </si>
  <si>
    <t>AR14799 - YENI CELL (R)</t>
  </si>
  <si>
    <t>AR16861 - PONEL CELL (MV)</t>
  </si>
  <si>
    <t>6°20'17.6"S 106°26'28.0"E</t>
  </si>
  <si>
    <t>AR21058 - TOKO JUANDA (RV)</t>
  </si>
  <si>
    <t>6°20'02.9"S 106°32'14.7"E</t>
  </si>
  <si>
    <t>AR22812 - CIFAH CELL (RV)</t>
  </si>
  <si>
    <t>6°20'03.4"S 106°32'18.4"E</t>
  </si>
  <si>
    <t>AR22824 - FIKRI CELL (RV)</t>
  </si>
  <si>
    <t>6°19'46.3"S 106°31'05.6"E</t>
  </si>
  <si>
    <t>AR23482 - ABI CELL (RV)</t>
  </si>
  <si>
    <t>6°20'47.3"S 106°33'31.1"E</t>
  </si>
  <si>
    <t>AR23790 - BUNDA CELL (MV)</t>
  </si>
  <si>
    <t>6° 19' 45.8" S 106° 26' 2.8" E</t>
  </si>
  <si>
    <t>AR25286 - VINO CELL (RV)</t>
  </si>
  <si>
    <t>6°19'43.3"S 106°31'05.1"E</t>
  </si>
  <si>
    <t>AR25343 - NAHDA2 CELL (P)</t>
  </si>
  <si>
    <t>6°19'55.6"S 106°27'42.7"E</t>
  </si>
  <si>
    <t>AR26114 - SRI AMANDA (RL)</t>
  </si>
  <si>
    <t>6°19'46.4"S 106°31'30.5"E</t>
  </si>
  <si>
    <t>AR26439 - AZKA PRIMA (P)</t>
  </si>
  <si>
    <t>6°19'14.6"S 106°32'50.5"E</t>
  </si>
  <si>
    <t>AR26506 - CHANDRA SERVIS CELLULER (P)</t>
  </si>
  <si>
    <t>6°19'09.7"S 106°32'19.1"E</t>
  </si>
  <si>
    <t>AR28313 - SYAHRIL93 CELL (RL)</t>
  </si>
  <si>
    <t>6°21'55.1"S 106°28'59.4"E</t>
  </si>
  <si>
    <t>AR28505 - ARIN CELL (R)</t>
  </si>
  <si>
    <t>6°21'26.8"S 106°29'56.4"E</t>
  </si>
  <si>
    <t>AR28589 - WARUNG AHLAN (RV)</t>
  </si>
  <si>
    <t>6°20'14.9"S 106°29'40.2"E</t>
  </si>
  <si>
    <t>AR28591 - WARUNG IIS (RV)</t>
  </si>
  <si>
    <t>6°20'16.1"S 106°29'52.7"E</t>
  </si>
  <si>
    <t>AR28627 - AKHMAL CELL (RV)</t>
  </si>
  <si>
    <t>6°20'14.1"S 106°30'16.2"E</t>
  </si>
  <si>
    <t>AR28681 - MINA CELL (RV)</t>
  </si>
  <si>
    <t>6°21'25.2"S 106°30'43.1"E</t>
  </si>
  <si>
    <t>AR29320 - WARUNG ALESHA (RV)</t>
  </si>
  <si>
    <t>6°20'05.4"S 106°32'44.0"E</t>
  </si>
  <si>
    <t>AR30207 - FIKRI CEL (RL)</t>
  </si>
  <si>
    <t>6°21'27.0"S 106°29'15.2"E</t>
  </si>
  <si>
    <t>AR32087 - EPIC CELL (RL)</t>
  </si>
  <si>
    <t>6°21'09.7"S 106°29'15.7"E</t>
  </si>
  <si>
    <t>AR32437 - MEARE CHIKEN (RV)</t>
  </si>
  <si>
    <t>6°20'26.7"S 106°33'07.1"E</t>
  </si>
  <si>
    <t>AR32547 - KONTER 2013 (P)</t>
  </si>
  <si>
    <t>6°20'28.1"S 106°31'31.9"E</t>
  </si>
  <si>
    <t>AR34174 - SAKILA CELL (RL)</t>
  </si>
  <si>
    <t>6°20'34.8"S 106°33'46.1"E</t>
  </si>
  <si>
    <t>AR34196 - ZAM CELL (P)</t>
  </si>
  <si>
    <t>6°19'42.6"S 106°27'27.5"E</t>
  </si>
  <si>
    <t>AR34862 - M.RIFAI CELLULAR (P)</t>
  </si>
  <si>
    <t>6°21'07.3"S 106°30'46.0"E</t>
  </si>
  <si>
    <t>AR35188 - FAREL. CELL (P)</t>
  </si>
  <si>
    <t>6°19'49.1"S 106°31'34.9"E</t>
  </si>
  <si>
    <t>AR35213 - EMUTI CELL (P)</t>
  </si>
  <si>
    <t>6°19'49.8"S 106°33'42.7"E</t>
  </si>
  <si>
    <t>AR35289 - EMAN CELL (P)</t>
  </si>
  <si>
    <t>6°19'23.7"S 106°31'47.8"E</t>
  </si>
  <si>
    <t>AR35496 - MAMA EGA (RL)</t>
  </si>
  <si>
    <t>6°20'46.2"S 106°30'10.3"E</t>
  </si>
  <si>
    <t>AR35783 - ZAINUL (P)</t>
  </si>
  <si>
    <t>6°19'16.8"S 106°32'39.5"E</t>
  </si>
  <si>
    <t>AR36370 - EKA (RV)</t>
  </si>
  <si>
    <t>6°21'10.0"S 106°29'12.3"E</t>
  </si>
  <si>
    <t>AR36544 - MUHAMAD RIDWAN (R)</t>
  </si>
  <si>
    <t>6°19'29.1"S 106°32'40.3"E</t>
  </si>
  <si>
    <t>AR36548 - DESI (RL)</t>
  </si>
  <si>
    <t>6°19'17.1"S 106°32'32.5"E</t>
  </si>
  <si>
    <t>AR36778 - AZIDAN CELL (P)</t>
  </si>
  <si>
    <t>6°22'38.1"S 106°26'16.4"E</t>
  </si>
  <si>
    <t>AR37950 - FATHUR (RL)</t>
  </si>
  <si>
    <t>6°20'08.7"S 106°29'29.1"E</t>
  </si>
  <si>
    <t>AR38060 - NUR CELL (RL)</t>
  </si>
  <si>
    <t>6°19'01.4"S 106°30'25.5"E</t>
  </si>
  <si>
    <t>AR38064 - MUHEMIN CEL (P)</t>
  </si>
  <si>
    <t>6°18'34.0"S 106°30'00.8"E</t>
  </si>
  <si>
    <t>AR38066 - FUSS CELL (RL)</t>
  </si>
  <si>
    <t>6°19'01.5"S 106°30'25.2"E</t>
  </si>
  <si>
    <t>AR38078 - TOKO TINA (RL)</t>
  </si>
  <si>
    <t>AR38086 - QIANA CELL (RL)</t>
  </si>
  <si>
    <t>6°20'06.4"S 106°28'34.4"E</t>
  </si>
  <si>
    <t>AR38109 - TOKO NURUL (RL)</t>
  </si>
  <si>
    <t>AR38110 - TOKO MILA (RL)</t>
  </si>
  <si>
    <t>6°19'31.1"S 106°28'35.8"E</t>
  </si>
  <si>
    <t>AR38111 - TOKO SINAR GALUH (RL)</t>
  </si>
  <si>
    <t>6°18'48.6"S 106°28'45.3"E</t>
  </si>
  <si>
    <t>AR38119 - MUIKA (RL)</t>
  </si>
  <si>
    <t>6°19'59.0"S 106°28'35.3"E</t>
  </si>
  <si>
    <t>AR38122 - WARUNG IPIT (RL)</t>
  </si>
  <si>
    <t>6°20'30.5"S 106°29'46.7"E</t>
  </si>
  <si>
    <t>AR38123 - HERI KURNIAWAN (RL)</t>
  </si>
  <si>
    <t>6°18'33.0"S 106°29'04.7"E</t>
  </si>
  <si>
    <t>AR38137 - UMMU CELL (RL)</t>
  </si>
  <si>
    <t>6°20'23.4"S 106°28'36.9"E</t>
  </si>
  <si>
    <t>AR38145 - WARUNG RIZKA (RL)</t>
  </si>
  <si>
    <t>6°19'26.8"S 106°30'44.3"E</t>
  </si>
  <si>
    <t>AR38146 - NAVIA CELL2 (P)</t>
  </si>
  <si>
    <t>6°18'59.2"S 106°30'04.9"E</t>
  </si>
  <si>
    <t>AR38150 - ZEZE CELL (RL)</t>
  </si>
  <si>
    <t>6°17'59.2"S 106°30'10.4"E</t>
  </si>
  <si>
    <t>AR38161 - TOKO TEGUH (RL)</t>
  </si>
  <si>
    <t>6°17'40.3"S 106°29'42.8"E</t>
  </si>
  <si>
    <t>AR38179 - WARUNG NURJEN (P)</t>
  </si>
  <si>
    <t>6°18'16.4"S 106°30'03.2"E</t>
  </si>
  <si>
    <t>AR38187 - ARSHAKA CELL (RL)</t>
  </si>
  <si>
    <t>6°19'44.4"S 106°28'35.7"E</t>
  </si>
  <si>
    <t>AR38202 - WARUNG ISLAHLUDIN (RL)</t>
  </si>
  <si>
    <t>6°18'20.0"S 106°29'17.1"E</t>
  </si>
  <si>
    <t>AR38258 - IBU JAMIO (RL)</t>
  </si>
  <si>
    <t>6°19'16.4"S 106°28'18.7"E</t>
  </si>
  <si>
    <t>AR38261 - ERITA CELL (RL)</t>
  </si>
  <si>
    <t>6°18'38.6"S 106°28'02.6"E</t>
  </si>
  <si>
    <t>AR38281 - TOKO DESY (RL)</t>
  </si>
  <si>
    <t>6°19'20.1"S 106°28'21.4"E</t>
  </si>
  <si>
    <t>AR38371 - KENS CELL (RL)</t>
  </si>
  <si>
    <t>6°19'08.5"S 106°26'32.2"E</t>
  </si>
  <si>
    <t>AR38411 - METAPHONE 79 (RL)</t>
  </si>
  <si>
    <t>6°19'46.8"S 106°26'00.7"E</t>
  </si>
  <si>
    <t>AR38412 - AULIA CELL (RL)</t>
  </si>
  <si>
    <t>6°19'10.1"S 106°26'23.2"E</t>
  </si>
  <si>
    <t>AR38494 - WARUNG UMAY (P)</t>
  </si>
  <si>
    <t>6°19'42.3"S 106°25'52.9"E</t>
  </si>
  <si>
    <t>AR38529 - TOKO NAHLA (RL)</t>
  </si>
  <si>
    <t>6°19'20.2"S 106°25'44.5"E</t>
  </si>
  <si>
    <t>AR38644 - OLAH CELL (RL)</t>
  </si>
  <si>
    <t>6°19'33.7"S 106°25'10.6"E</t>
  </si>
  <si>
    <t>AR38884 - AZKIA CELL (P)</t>
  </si>
  <si>
    <t>6°21'18.5"S 106°27'45.6"E</t>
  </si>
  <si>
    <t>AR38971 - SUHLAN CELL (RL)</t>
  </si>
  <si>
    <t>6°19'01.2"S 106°27'49.2"E</t>
  </si>
  <si>
    <t>AR38987 - WAHIDIN (RL)</t>
  </si>
  <si>
    <t>6°16'43.9"S 106°29'42.6"E</t>
  </si>
  <si>
    <t>AR39018 - HGS DEKSTOP (RL)</t>
  </si>
  <si>
    <t>6°19'09.5"S 106°26'21.1"E</t>
  </si>
  <si>
    <t>AR39019 - S.A CELLULER (RL)</t>
  </si>
  <si>
    <t>6°18'39.9"S 106°24'39.8"E</t>
  </si>
  <si>
    <t>AR39058 - NIRZAM CELL (RL)</t>
  </si>
  <si>
    <t>6°17'18.7"S 106°30'56.6"E</t>
  </si>
  <si>
    <t>AR39375 - NAYLA CELL (P)</t>
  </si>
  <si>
    <t>6°19'47.1"S 106°31'33.6"E</t>
  </si>
  <si>
    <t>AR39479 - KEMBAR CELL (P)</t>
  </si>
  <si>
    <t>6°20'53.2"S 106°30'23.3"E</t>
  </si>
  <si>
    <t>AR39626 - MANDIRI CELL (RL)</t>
  </si>
  <si>
    <t>6°20'09.4"S 106°26'10.9"E</t>
  </si>
  <si>
    <t>AR39661 - YHARA CELL (P)</t>
  </si>
  <si>
    <t>6°20'59.3"S 106°30'20.8"E</t>
  </si>
  <si>
    <t>AR39707 - EMC CELL (P)</t>
  </si>
  <si>
    <t>6°19'26.0"S 106°28'15.4"E</t>
  </si>
  <si>
    <t>AR39708 - RAYN SERVICE (RL)</t>
  </si>
  <si>
    <t>6°19'08.2"S 106°27'44.0"E</t>
  </si>
  <si>
    <t>AR39709 - YULIYANTI (RL)</t>
  </si>
  <si>
    <t>6°21'55.2"S 106°28'59.2"E</t>
  </si>
  <si>
    <t>AR39712 - AKMAL JAYA (RL)</t>
  </si>
  <si>
    <t>6°19'00.7"S 106°29'29.6"E</t>
  </si>
  <si>
    <t>AR39719 - NIZZA CELL (RL)</t>
  </si>
  <si>
    <t>6°20'11.9"S 106°29'09.5"E</t>
  </si>
  <si>
    <t>AR39720 - LANA CELL (P)</t>
  </si>
  <si>
    <t>6°20'04.0"S 106°26'06.1"E</t>
  </si>
  <si>
    <t>AR39730 - WR IBU IIS (RL)</t>
  </si>
  <si>
    <t>6°18'58.4"S 106°29'27.3"E</t>
  </si>
  <si>
    <t>AR39970 - WARUNG TAWAKKAL (P)</t>
  </si>
  <si>
    <t>AR39987 - AZIDAN 2 (RL)</t>
  </si>
  <si>
    <t>AR40027 - WHAT CELL (RL)</t>
  </si>
  <si>
    <t>6°20'28.4"S 106°31'31.7"E</t>
  </si>
  <si>
    <t>Trx</t>
  </si>
  <si>
    <t>Jul</t>
  </si>
  <si>
    <t>AR31838 - ILHAM CELL (RL)</t>
  </si>
  <si>
    <t>6°18'06.5"S 106°35'45.7"E</t>
  </si>
  <si>
    <t>AR38577 - SASRIYANAH (P)</t>
  </si>
  <si>
    <t>6°19'21.4"S 106°34'23.9"E</t>
  </si>
  <si>
    <t>AR38622 - ANINDI (RL)</t>
  </si>
  <si>
    <t>6°19'37.4"S 106°36'55.4"E</t>
  </si>
  <si>
    <t>AR08928 - AMS CELL (RV)</t>
  </si>
  <si>
    <t>6°21'27.9"S 106°31'31.3"E</t>
  </si>
  <si>
    <t>AR39623 - ELY CELL (RL)</t>
  </si>
  <si>
    <t>6°17'18.2"S 106°29'49.8"E</t>
  </si>
  <si>
    <t>AR39717 - JOY BOY CELL (P)</t>
  </si>
  <si>
    <t>AR39796 - WR DIRMAN (RL)</t>
  </si>
  <si>
    <t>6°19'57.1"S 106°29'51.8"E</t>
  </si>
  <si>
    <t>AR39929 - KAHFI (P)</t>
  </si>
  <si>
    <t>BULAN</t>
  </si>
  <si>
    <t>Tanggal</t>
  </si>
  <si>
    <t>Nama SCO</t>
  </si>
  <si>
    <t>SCO</t>
  </si>
  <si>
    <t>CABANG</t>
  </si>
  <si>
    <t>Grand Total</t>
  </si>
  <si>
    <t>ICON</t>
  </si>
  <si>
    <t>PP</t>
  </si>
  <si>
    <t>BSD</t>
  </si>
  <si>
    <t>PRG</t>
  </si>
  <si>
    <t>NON SCO</t>
  </si>
  <si>
    <t>ONLINE</t>
  </si>
  <si>
    <t>TOTAL SCO</t>
  </si>
  <si>
    <t>TOTAL NON SCO</t>
  </si>
  <si>
    <t>Growth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</si>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</sst>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64" formatCode="_-* #,##0.0_-;\-* #,##0.0_-;_-* &quot;-&quot;_-;_-@_-"/>
    <numFmt numFmtId="165" formatCode="0.0%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14" fontId="0" fillId="0" borderId="0" xfId="0" applyNumberFormat="1"/>
    <xf numFmtId="41" fontId="0" fillId="0" borderId="0" xfId="1" applyFont="1"/>
    <xf numFmtId="164" fontId="0" fillId="0" borderId="0" xfId="1" applyNumberFormat="1" applyFont="1"/>
    <xf numFmtId="0" fontId="2" fillId="2" borderId="1" xfId="0" applyFont="1" applyFill="1" applyBorder="1"/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0" fontId="2" fillId="0" borderId="0" xfId="0" applyFont="1"/>
    <xf numFmtId="0" fontId="2" fillId="2" borderId="2" xfId="0" applyFont="1" applyFill="1" applyBorder="1"/>
    <xf numFmtId="3" fontId="2" fillId="2" borderId="2" xfId="0" applyNumberFormat="1" applyFont="1" applyFill="1" applyBorder="1" applyAlignment="1">
      <alignment horizontal="center" vertical="center"/>
    </xf>
    <xf numFmtId="0" fontId="2" fillId="0" borderId="0" xfId="0" applyFont="1" applyBorder="1"/>
    <xf numFmtId="0" fontId="2" fillId="2" borderId="0" xfId="0" applyFont="1" applyFill="1" applyBorder="1"/>
    <xf numFmtId="165" fontId="0" fillId="0" borderId="0" xfId="2" applyNumberFormat="1" applyFont="1"/>
  </cellXfs>
  <cellStyles count="3">
    <cellStyle name="Comma [0]" xfId="1" builtinId="6"/>
    <cellStyle name="Normal" xfId="0" builtinId="0"/>
    <cellStyle name="Percent" xfId="2" builtinId="5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19" formatCode="dd/mm/yyyy"/>
    </dxf>
    <dxf>
      <numFmt numFmtId="0" formatCode="General"/>
    </dxf>
    <dxf>
      <numFmt numFmtId="164" formatCode="_-* #,##0.0_-;\-* #,##0.0_-;_-* &quot;-&quot;_-;_-@_-"/>
    </dxf>
    <dxf>
      <numFmt numFmtId="164" formatCode="_-* #,##0.0_-;\-* #,##0.0_-;_-* &quot;-&quot;_-;_-@_-"/>
    </dxf>
    <dxf>
      <numFmt numFmtId="164" formatCode="_-* #,##0.0_-;\-* #,##0.0_-;_-* &quot;-&quot;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DDC960EC-ECF8-4431-9EAB-D9DFF3EABBE7}" autoFormatId="16" applyNumberFormats="0" applyBorderFormats="0" applyFontFormats="0" applyPatternFormats="0" applyAlignmentFormats="0" applyWidthHeightFormats="0">
  <queryTableRefresh nextId="8">
    <queryTableFields count="7">
      <queryTableField id="1" name="NAMA SCO" tableColumnId="1"/>
      <queryTableField id="2" name="NAMA CUSTOMER" tableColumnId="2"/>
      <queryTableField id="3" name="LOCATION" tableColumnId="3"/>
      <queryTableField id="4" name="JADWAL" tableColumnId="4"/>
      <queryTableField id="5" name="Jul" tableColumnId="5"/>
      <queryTableField id="6" name="Aug" tableColumnId="6"/>
      <queryTableField id="7" name="Sep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9A369D7-36DD-46F8-A97B-1F246CE56E83}" autoFormatId="16" applyNumberFormats="0" applyBorderFormats="0" applyFontFormats="0" applyPatternFormats="0" applyAlignmentFormats="0" applyWidthHeightFormats="0">
  <queryTableRefresh nextId="5">
    <queryTableFields count="4">
      <queryTableField id="1" name="BULAN" tableColumnId="1"/>
      <queryTableField id="2" name="Tanggal" tableColumnId="2"/>
      <queryTableField id="3" name="Nama SCO" tableColumnId="3"/>
      <queryTableField id="4" name="Trx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EA22822-052F-469A-99A5-4FC827E3A7C5}" name="TREN_AGEN" displayName="TREN_AGEN" ref="A1:G1269" tableType="queryTable" totalsRowShown="0">
  <tableColumns count="7">
    <tableColumn id="1" xr3:uid="{67B57B49-F8F7-47B2-85C1-96285F116529}" uniqueName="1" name="NAMA SCO" queryTableFieldId="1" dataDxfId="10"/>
    <tableColumn id="2" xr3:uid="{D7B8A2E1-73A5-4826-81FF-BF7568BAEE65}" uniqueName="2" name="NAMA CUSTOMER" queryTableFieldId="2" dataDxfId="9"/>
    <tableColumn id="3" xr3:uid="{D9788D85-8FA1-4010-BC16-DB825E3184BB}" uniqueName="3" name="LOCATION" queryTableFieldId="3" dataDxfId="8"/>
    <tableColumn id="4" xr3:uid="{DDFED609-3DC3-4E5A-A809-6E388783CECA}" uniqueName="4" name="JADWAL" queryTableFieldId="4" dataDxfId="7"/>
    <tableColumn id="5" xr3:uid="{5811CFC4-B0C2-48E5-AC66-FD205D4FCBC0}" uniqueName="5" name="Jul" queryTableFieldId="5" dataDxfId="6" dataCellStyle="Comma [0]"/>
    <tableColumn id="6" xr3:uid="{3E798AEB-54AF-4A4D-93C5-674BC23E9C78}" uniqueName="6" name="Aug" queryTableFieldId="6" dataDxfId="5" dataCellStyle="Comma [0]"/>
    <tableColumn id="7" xr3:uid="{91D2FCA0-39EA-43EA-99B7-73546F3850A8}" uniqueName="7" name="Sep" queryTableFieldId="7" dataDxfId="4" dataCellStyle="Comma [0]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BB2BD51-740C-4B08-A8DC-0C8462818EBA}" name="Tren_Harian_SCO" displayName="Tren_Harian_SCO" ref="A1:D345" tableType="queryTable" totalsRowShown="0">
  <autoFilter ref="A1:D345" xr:uid="{6BB2BD51-740C-4B08-A8DC-0C8462818EBA}"/>
  <tableColumns count="4">
    <tableColumn id="1" xr3:uid="{0856593E-6236-4411-A61D-1EDD80471B30}" uniqueName="1" name="BULAN" queryTableFieldId="1" dataDxfId="3"/>
    <tableColumn id="2" xr3:uid="{14781FFB-7981-4E5C-BD1E-B289D82FAD6B}" uniqueName="2" name="Tanggal" queryTableFieldId="2" dataDxfId="2"/>
    <tableColumn id="3" xr3:uid="{A33A95CE-1C8C-43B6-A2EA-FE26598E032E}" uniqueName="3" name="Nama SCO" queryTableFieldId="3" dataDxfId="1"/>
    <tableColumn id="4" xr3:uid="{6D52C7E0-3EF6-49CC-A4CC-60F139B8CEE0}" uniqueName="4" name="Trx" queryTableFieldId="4" dataDxfId="0" dataCellStyle="Comma [0]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350F7-D6D0-444B-AB68-05D7C79C90E1}">
  <dimension ref="A1:G14"/>
  <sheetViews>
    <sheetView tabSelected="1" workbookViewId="0">
      <selection activeCell="G6" sqref="G6"/>
    </sheetView>
  </sheetViews>
  <sheetFormatPr defaultRowHeight="15" x14ac:dyDescent="0.25"/>
  <cols>
    <col min="1" max="1" width="15.5703125" bestFit="1" customWidth="1"/>
    <col min="2" max="2" width="8.7109375" bestFit="1" customWidth="1"/>
    <col min="3" max="3" width="9" customWidth="1"/>
    <col min="4" max="4" width="9.140625" customWidth="1"/>
    <col min="5" max="5" width="11.28515625" bestFit="1" customWidth="1"/>
  </cols>
  <sheetData>
    <row r="1" spans="1:7" x14ac:dyDescent="0.25">
      <c r="A1" s="4" t="s">
        <v>947</v>
      </c>
      <c r="B1" s="4" t="s">
        <v>948</v>
      </c>
      <c r="C1" s="5" t="s">
        <v>4</v>
      </c>
      <c r="D1" s="4" t="s">
        <v>5</v>
      </c>
      <c r="E1" s="4" t="s">
        <v>958</v>
      </c>
      <c r="F1" s="13" t="s">
        <v>959</v>
      </c>
    </row>
    <row r="2" spans="1:7" x14ac:dyDescent="0.25">
      <c r="A2" s="6" t="s">
        <v>6</v>
      </c>
      <c r="B2" t="s">
        <v>950</v>
      </c>
      <c r="C2" s="7">
        <v>971.03225806438729</v>
      </c>
      <c r="D2" s="8">
        <v>969.61538461548798</v>
      </c>
      <c r="E2" s="8">
        <f>D2-C2</f>
        <v>-1.4168734488993096</v>
      </c>
      <c r="F2" s="14">
        <f>E2/C2</f>
        <v>-1.459141482821222E-3</v>
      </c>
    </row>
    <row r="3" spans="1:7" x14ac:dyDescent="0.25">
      <c r="A3" s="6" t="s">
        <v>227</v>
      </c>
      <c r="B3" t="s">
        <v>951</v>
      </c>
      <c r="C3" s="7">
        <v>543.29032258069037</v>
      </c>
      <c r="D3" s="8">
        <v>540.84615384617598</v>
      </c>
      <c r="E3" s="8">
        <f t="shared" ref="E3:E14" si="0">D3-C3</f>
        <v>-2.4441687345143919</v>
      </c>
      <c r="F3" s="14">
        <f t="shared" ref="F3:F14" si="1">E3/C3</f>
        <v>-4.4988261946288946E-3</v>
      </c>
    </row>
    <row r="4" spans="1:7" x14ac:dyDescent="0.25">
      <c r="A4" s="6" t="s">
        <v>355</v>
      </c>
      <c r="B4" t="s">
        <v>952</v>
      </c>
      <c r="C4" s="7">
        <v>997.45161290311205</v>
      </c>
      <c r="D4" s="8">
        <v>940.38461538471086</v>
      </c>
      <c r="E4" s="8">
        <f t="shared" si="0"/>
        <v>-57.066997518401195</v>
      </c>
      <c r="F4" s="14">
        <f t="shared" si="1"/>
        <v>-5.7212797874280873E-2</v>
      </c>
    </row>
    <row r="5" spans="1:7" x14ac:dyDescent="0.25">
      <c r="A5" s="6" t="s">
        <v>593</v>
      </c>
      <c r="B5" t="s">
        <v>953</v>
      </c>
      <c r="C5" s="7">
        <v>468.51612903233922</v>
      </c>
      <c r="D5" s="8">
        <v>436.15384615385568</v>
      </c>
      <c r="E5" s="8">
        <f t="shared" si="0"/>
        <v>-32.362282878483541</v>
      </c>
      <c r="F5" s="14">
        <f t="shared" si="1"/>
        <v>-6.9073999534068856E-2</v>
      </c>
    </row>
    <row r="6" spans="1:7" x14ac:dyDescent="0.25">
      <c r="A6" s="6" t="s">
        <v>721</v>
      </c>
      <c r="B6" t="s">
        <v>951</v>
      </c>
      <c r="C6" s="7">
        <v>797.12903225795958</v>
      </c>
      <c r="D6" s="8">
        <v>745.07692307698039</v>
      </c>
      <c r="E6" s="8">
        <f t="shared" si="0"/>
        <v>-52.052109180979187</v>
      </c>
      <c r="F6" s="14">
        <f t="shared" si="1"/>
        <v>-6.5299477342502008E-2</v>
      </c>
    </row>
    <row r="7" spans="1:7" x14ac:dyDescent="0.25">
      <c r="A7" s="12" t="s">
        <v>956</v>
      </c>
      <c r="C7" s="7">
        <f>SUM(C2:C6)</f>
        <v>3777.4193548384892</v>
      </c>
      <c r="D7" s="8">
        <f>SUM(D2:D6)</f>
        <v>3632.0769230772112</v>
      </c>
      <c r="E7" s="8">
        <f t="shared" si="0"/>
        <v>-145.34243176127802</v>
      </c>
      <c r="F7" s="14">
        <f t="shared" si="1"/>
        <v>-3.8476647178478922E-2</v>
      </c>
      <c r="G7" s="14"/>
    </row>
    <row r="8" spans="1:7" x14ac:dyDescent="0.25">
      <c r="A8" s="9" t="s">
        <v>954</v>
      </c>
      <c r="B8" t="s">
        <v>952</v>
      </c>
      <c r="C8" s="7">
        <v>1107.8709677418758</v>
      </c>
      <c r="D8" s="8">
        <v>1105.6153846154966</v>
      </c>
      <c r="E8" s="8">
        <f t="shared" si="0"/>
        <v>-2.2555831263791788</v>
      </c>
      <c r="F8" s="14">
        <f t="shared" si="1"/>
        <v>-2.0359619414674558E-3</v>
      </c>
    </row>
    <row r="9" spans="1:7" x14ac:dyDescent="0.25">
      <c r="A9" s="9" t="s">
        <v>954</v>
      </c>
      <c r="B9" t="s">
        <v>950</v>
      </c>
      <c r="C9" s="7">
        <v>604.35483870963333</v>
      </c>
      <c r="D9" s="8">
        <v>602.15384615390201</v>
      </c>
      <c r="E9" s="8">
        <f t="shared" si="0"/>
        <v>-2.2009925557313181</v>
      </c>
      <c r="F9" s="14">
        <f t="shared" si="1"/>
        <v>-3.6418878691046618E-3</v>
      </c>
    </row>
    <row r="10" spans="1:7" x14ac:dyDescent="0.25">
      <c r="A10" s="9" t="s">
        <v>954</v>
      </c>
      <c r="B10" t="s">
        <v>951</v>
      </c>
      <c r="C10" s="7">
        <v>758.2903225805992</v>
      </c>
      <c r="D10" s="8">
        <v>707.61538461544512</v>
      </c>
      <c r="E10" s="8">
        <f t="shared" si="0"/>
        <v>-50.674937965154072</v>
      </c>
      <c r="F10" s="14">
        <f t="shared" si="1"/>
        <v>-6.6827884328917828E-2</v>
      </c>
    </row>
    <row r="11" spans="1:7" x14ac:dyDescent="0.25">
      <c r="A11" s="6" t="s">
        <v>954</v>
      </c>
      <c r="B11" t="s">
        <v>953</v>
      </c>
      <c r="C11" s="7">
        <v>310.41935483872248</v>
      </c>
      <c r="D11" s="8">
        <v>283.46153846152623</v>
      </c>
      <c r="E11" s="8">
        <f t="shared" si="0"/>
        <v>-26.957816377196252</v>
      </c>
      <c r="F11" s="14">
        <f t="shared" si="1"/>
        <v>-8.6843220169702723E-2</v>
      </c>
    </row>
    <row r="12" spans="1:7" x14ac:dyDescent="0.25">
      <c r="A12" s="6" t="s">
        <v>957</v>
      </c>
      <c r="C12" s="7">
        <f>SUM(C8:C11)</f>
        <v>2780.9354838708309</v>
      </c>
      <c r="D12" s="7">
        <f>SUM(D8:D11)</f>
        <v>2698.8461538463703</v>
      </c>
      <c r="E12" s="8">
        <f t="shared" si="0"/>
        <v>-82.089330024460651</v>
      </c>
      <c r="F12" s="14">
        <f t="shared" si="1"/>
        <v>-2.9518602822888623E-2</v>
      </c>
    </row>
    <row r="13" spans="1:7" x14ac:dyDescent="0.25">
      <c r="A13" s="6" t="s">
        <v>955</v>
      </c>
      <c r="B13" t="s">
        <v>955</v>
      </c>
      <c r="C13" s="7">
        <v>630.12903225803575</v>
      </c>
      <c r="D13" s="8">
        <v>596.61538461543978</v>
      </c>
      <c r="E13" s="8">
        <f t="shared" si="0"/>
        <v>-33.51364764259597</v>
      </c>
      <c r="F13" s="14">
        <f t="shared" si="1"/>
        <v>-5.3185373037807029E-2</v>
      </c>
    </row>
    <row r="14" spans="1:7" x14ac:dyDescent="0.25">
      <c r="A14" s="10" t="s">
        <v>949</v>
      </c>
      <c r="B14" s="10"/>
      <c r="C14" s="11">
        <f>C7+C12+C13</f>
        <v>7188.483870967355</v>
      </c>
      <c r="D14" s="11">
        <f>D7+D12+D13</f>
        <v>6927.5384615390212</v>
      </c>
      <c r="E14" s="8">
        <f t="shared" si="0"/>
        <v>-260.94540942833373</v>
      </c>
      <c r="F14" s="14">
        <f t="shared" si="1"/>
        <v>-3.630047922653519E-2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A3CC4-8082-4550-8C51-47FF92F8F8D4}">
  <dimension ref="A1:G1269"/>
  <sheetViews>
    <sheetView workbookViewId="0">
      <selection activeCell="A3" sqref="A3"/>
    </sheetView>
  </sheetViews>
  <sheetFormatPr defaultRowHeight="15" x14ac:dyDescent="0.25"/>
  <cols>
    <col min="1" max="1" width="15.5703125" bestFit="1" customWidth="1"/>
    <col min="2" max="2" width="41.140625" bestFit="1" customWidth="1"/>
    <col min="3" max="3" width="24.5703125" bestFit="1" customWidth="1"/>
    <col min="4" max="4" width="25.140625" bestFit="1" customWidth="1"/>
    <col min="5" max="7" width="7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929</v>
      </c>
      <c r="F1" t="s">
        <v>4</v>
      </c>
      <c r="G1" t="s">
        <v>5</v>
      </c>
    </row>
    <row r="2" spans="1:7" x14ac:dyDescent="0.25">
      <c r="A2" t="s">
        <v>6</v>
      </c>
      <c r="B2" t="s">
        <v>7</v>
      </c>
      <c r="C2" t="s">
        <v>8</v>
      </c>
      <c r="D2" t="s">
        <v>9</v>
      </c>
      <c r="E2" s="3">
        <v>1.3548387096774184</v>
      </c>
      <c r="F2" s="3">
        <v>2.1935483870967727</v>
      </c>
      <c r="G2" s="3">
        <v>1.3846153846153841</v>
      </c>
    </row>
    <row r="3" spans="1:7" x14ac:dyDescent="0.25">
      <c r="A3" t="s">
        <v>6</v>
      </c>
      <c r="B3" t="s">
        <v>10</v>
      </c>
      <c r="C3" t="s">
        <v>11</v>
      </c>
      <c r="D3" t="s">
        <v>9</v>
      </c>
      <c r="E3" s="3">
        <v>24.064516129032373</v>
      </c>
      <c r="F3" s="3">
        <v>22.61290322580647</v>
      </c>
      <c r="G3" s="3">
        <v>21.30769230769225</v>
      </c>
    </row>
    <row r="4" spans="1:7" x14ac:dyDescent="0.25">
      <c r="A4" t="s">
        <v>6</v>
      </c>
      <c r="B4" t="s">
        <v>12</v>
      </c>
      <c r="C4" t="s">
        <v>13</v>
      </c>
      <c r="D4" t="s">
        <v>14</v>
      </c>
      <c r="E4" s="3">
        <v>1.1935483870967734</v>
      </c>
      <c r="F4" s="3">
        <v>0.99999999999999933</v>
      </c>
      <c r="G4" s="3">
        <v>1.3076923076923073</v>
      </c>
    </row>
    <row r="5" spans="1:7" x14ac:dyDescent="0.25">
      <c r="A5" t="s">
        <v>6</v>
      </c>
      <c r="B5" t="s">
        <v>15</v>
      </c>
      <c r="C5" t="s">
        <v>16</v>
      </c>
      <c r="D5" t="s">
        <v>9</v>
      </c>
      <c r="E5" s="3">
        <v>53.999999999999559</v>
      </c>
      <c r="F5" s="3">
        <v>45.354838709677118</v>
      </c>
      <c r="G5" s="3">
        <v>50.230769230769603</v>
      </c>
    </row>
    <row r="6" spans="1:7" x14ac:dyDescent="0.25">
      <c r="A6" t="s">
        <v>6</v>
      </c>
      <c r="B6" t="s">
        <v>17</v>
      </c>
      <c r="C6" t="s">
        <v>18</v>
      </c>
      <c r="D6" t="s">
        <v>9</v>
      </c>
      <c r="E6" s="3">
        <v>7.3870967741935427</v>
      </c>
      <c r="F6" s="3">
        <v>6.2903225806451566</v>
      </c>
      <c r="G6" s="3">
        <v>4.7692307692307701</v>
      </c>
    </row>
    <row r="7" spans="1:7" x14ac:dyDescent="0.25">
      <c r="A7" t="s">
        <v>6</v>
      </c>
      <c r="B7" t="s">
        <v>19</v>
      </c>
      <c r="C7" t="s">
        <v>20</v>
      </c>
      <c r="D7" t="s">
        <v>9</v>
      </c>
      <c r="E7" s="3">
        <v>3.6129032258064488</v>
      </c>
      <c r="F7" s="3">
        <v>3.4838709677419328</v>
      </c>
      <c r="G7" s="3">
        <v>2.2307692307692304</v>
      </c>
    </row>
    <row r="8" spans="1:7" x14ac:dyDescent="0.25">
      <c r="A8" t="s">
        <v>6</v>
      </c>
      <c r="B8" t="s">
        <v>21</v>
      </c>
      <c r="C8" t="s">
        <v>22</v>
      </c>
      <c r="D8" t="s">
        <v>23</v>
      </c>
      <c r="E8" s="3">
        <v>169.99999999999702</v>
      </c>
      <c r="F8" s="3">
        <v>167.64516129032199</v>
      </c>
      <c r="G8" s="3">
        <v>169.38461538461405</v>
      </c>
    </row>
    <row r="9" spans="1:7" x14ac:dyDescent="0.25">
      <c r="A9" t="s">
        <v>6</v>
      </c>
      <c r="B9" t="s">
        <v>24</v>
      </c>
      <c r="C9" t="s">
        <v>25</v>
      </c>
      <c r="D9" t="s">
        <v>9</v>
      </c>
      <c r="E9" s="3">
        <v>16.483870967742128</v>
      </c>
      <c r="F9" s="3">
        <v>15.258064516129219</v>
      </c>
      <c r="G9" s="3">
        <v>16.999999999999957</v>
      </c>
    </row>
    <row r="10" spans="1:7" x14ac:dyDescent="0.25">
      <c r="A10" t="s">
        <v>6</v>
      </c>
      <c r="B10" t="s">
        <v>26</v>
      </c>
      <c r="C10" t="s">
        <v>27</v>
      </c>
      <c r="D10" t="s">
        <v>14</v>
      </c>
      <c r="E10" s="3">
        <v>12.419354838709788</v>
      </c>
      <c r="F10" s="3">
        <v>11.354838709677502</v>
      </c>
      <c r="G10" s="3">
        <v>10.846153846153825</v>
      </c>
    </row>
    <row r="11" spans="1:7" x14ac:dyDescent="0.25">
      <c r="A11" t="s">
        <v>6</v>
      </c>
      <c r="B11" t="s">
        <v>28</v>
      </c>
      <c r="C11" t="s">
        <v>29</v>
      </c>
      <c r="D11" t="s">
        <v>30</v>
      </c>
      <c r="E11" s="3">
        <v>12.838709677419425</v>
      </c>
      <c r="F11" s="3">
        <v>12.322580645161398</v>
      </c>
      <c r="G11" s="3">
        <v>13.692307692307661</v>
      </c>
    </row>
    <row r="12" spans="1:7" x14ac:dyDescent="0.25">
      <c r="A12" t="s">
        <v>6</v>
      </c>
      <c r="B12" t="s">
        <v>31</v>
      </c>
      <c r="C12" t="s">
        <v>32</v>
      </c>
      <c r="D12" t="s">
        <v>9</v>
      </c>
      <c r="E12" s="3"/>
      <c r="F12" s="3">
        <v>1.6774193548387084</v>
      </c>
      <c r="G12" s="3">
        <v>4.1538461538461569</v>
      </c>
    </row>
    <row r="13" spans="1:7" x14ac:dyDescent="0.25">
      <c r="A13" t="s">
        <v>6</v>
      </c>
      <c r="B13" t="s">
        <v>33</v>
      </c>
      <c r="C13" t="s">
        <v>34</v>
      </c>
      <c r="D13" t="s">
        <v>9</v>
      </c>
      <c r="E13" s="3">
        <v>1.2580645161290314</v>
      </c>
      <c r="F13" s="3">
        <v>2.3225806451612887</v>
      </c>
      <c r="G13" s="3">
        <v>3.3846153846153868</v>
      </c>
    </row>
    <row r="14" spans="1:7" x14ac:dyDescent="0.25">
      <c r="A14" t="s">
        <v>6</v>
      </c>
      <c r="B14" t="s">
        <v>35</v>
      </c>
      <c r="C14" t="s">
        <v>36</v>
      </c>
      <c r="D14" t="s">
        <v>9</v>
      </c>
      <c r="E14" s="3">
        <v>3.9032258064516099</v>
      </c>
      <c r="F14" s="3">
        <v>3.0967741935483848</v>
      </c>
      <c r="G14" s="3">
        <v>3.9230769230769265</v>
      </c>
    </row>
    <row r="15" spans="1:7" x14ac:dyDescent="0.25">
      <c r="A15" t="s">
        <v>6</v>
      </c>
      <c r="B15" t="s">
        <v>37</v>
      </c>
      <c r="C15" t="s">
        <v>38</v>
      </c>
      <c r="D15" t="s">
        <v>9</v>
      </c>
      <c r="E15" s="3">
        <v>0.45161290322580627</v>
      </c>
      <c r="F15" s="3">
        <v>0.80645161290322531</v>
      </c>
      <c r="G15" s="3">
        <v>1.2307692307692304</v>
      </c>
    </row>
    <row r="16" spans="1:7" x14ac:dyDescent="0.25">
      <c r="A16" t="s">
        <v>6</v>
      </c>
      <c r="B16" t="s">
        <v>39</v>
      </c>
      <c r="C16" t="s">
        <v>40</v>
      </c>
      <c r="D16" t="s">
        <v>9</v>
      </c>
      <c r="E16" s="3">
        <v>13.225806451613035</v>
      </c>
      <c r="F16" s="3">
        <v>12.548387096774308</v>
      </c>
      <c r="G16" s="3">
        <v>11.538461538461515</v>
      </c>
    </row>
    <row r="17" spans="1:7" x14ac:dyDescent="0.25">
      <c r="A17" t="s">
        <v>6</v>
      </c>
      <c r="B17" t="s">
        <v>41</v>
      </c>
      <c r="C17" t="s">
        <v>42</v>
      </c>
      <c r="D17" t="s">
        <v>9</v>
      </c>
      <c r="E17" s="3">
        <v>5.5161290322580605</v>
      </c>
      <c r="F17" s="3">
        <v>7.1612903225806397</v>
      </c>
      <c r="G17" s="3">
        <v>9.2307692307692157</v>
      </c>
    </row>
    <row r="18" spans="1:7" x14ac:dyDescent="0.25">
      <c r="A18" t="s">
        <v>6</v>
      </c>
      <c r="B18" t="s">
        <v>43</v>
      </c>
      <c r="C18" t="s">
        <v>44</v>
      </c>
      <c r="D18" t="s">
        <v>14</v>
      </c>
      <c r="E18" s="3">
        <v>4.9354838709677384</v>
      </c>
      <c r="F18" s="3">
        <v>5.2903225806451575</v>
      </c>
      <c r="G18" s="3">
        <v>7.9230769230769127</v>
      </c>
    </row>
    <row r="19" spans="1:7" x14ac:dyDescent="0.25">
      <c r="A19" t="s">
        <v>6</v>
      </c>
      <c r="B19" t="s">
        <v>45</v>
      </c>
      <c r="C19" t="s">
        <v>46</v>
      </c>
      <c r="D19" t="s">
        <v>30</v>
      </c>
      <c r="E19" s="3">
        <v>59.129032258063567</v>
      </c>
      <c r="F19" s="3">
        <v>52.96774193548341</v>
      </c>
      <c r="G19" s="3">
        <v>48.461538461539064</v>
      </c>
    </row>
    <row r="20" spans="1:7" x14ac:dyDescent="0.25">
      <c r="A20" t="s">
        <v>6</v>
      </c>
      <c r="B20" t="s">
        <v>47</v>
      </c>
      <c r="C20" t="s">
        <v>48</v>
      </c>
      <c r="D20" t="s">
        <v>30</v>
      </c>
      <c r="E20" s="3">
        <v>2.2580645161290307</v>
      </c>
      <c r="F20" s="3">
        <v>3.1612903225806428</v>
      </c>
      <c r="G20" s="3">
        <v>2.9230769230769242</v>
      </c>
    </row>
    <row r="21" spans="1:7" x14ac:dyDescent="0.25">
      <c r="A21" t="s">
        <v>6</v>
      </c>
      <c r="B21" t="s">
        <v>49</v>
      </c>
      <c r="C21" t="s">
        <v>50</v>
      </c>
      <c r="D21" t="s">
        <v>9</v>
      </c>
      <c r="E21" s="3">
        <v>25.000000000000082</v>
      </c>
      <c r="F21" s="3">
        <v>27.096774193548466</v>
      </c>
      <c r="G21" s="3">
        <v>28.307692307692243</v>
      </c>
    </row>
    <row r="22" spans="1:7" x14ac:dyDescent="0.25">
      <c r="A22" t="s">
        <v>6</v>
      </c>
      <c r="B22" t="s">
        <v>51</v>
      </c>
      <c r="C22" t="s">
        <v>52</v>
      </c>
      <c r="D22" t="s">
        <v>14</v>
      </c>
      <c r="E22" s="3">
        <v>39.645161290322186</v>
      </c>
      <c r="F22" s="3">
        <v>35.806451612903025</v>
      </c>
      <c r="G22" s="3">
        <v>45.61538461538489</v>
      </c>
    </row>
    <row r="23" spans="1:7" x14ac:dyDescent="0.25">
      <c r="A23" t="s">
        <v>6</v>
      </c>
      <c r="B23" t="s">
        <v>53</v>
      </c>
      <c r="C23" t="s">
        <v>54</v>
      </c>
      <c r="D23" t="s">
        <v>14</v>
      </c>
      <c r="E23" s="3">
        <v>4.2903225806451584</v>
      </c>
      <c r="F23" s="3">
        <v>4.2258064516129004</v>
      </c>
      <c r="G23" s="3">
        <v>3.538461538461541</v>
      </c>
    </row>
    <row r="24" spans="1:7" x14ac:dyDescent="0.25">
      <c r="A24" t="s">
        <v>6</v>
      </c>
      <c r="B24" t="s">
        <v>55</v>
      </c>
      <c r="C24" t="s">
        <v>56</v>
      </c>
      <c r="D24" t="s">
        <v>9</v>
      </c>
      <c r="E24" s="3">
        <v>8.1612903225806424</v>
      </c>
      <c r="F24" s="3">
        <v>7.9677419354838648</v>
      </c>
      <c r="G24" s="3">
        <v>7.3846153846153761</v>
      </c>
    </row>
    <row r="25" spans="1:7" x14ac:dyDescent="0.25">
      <c r="A25" t="s">
        <v>6</v>
      </c>
      <c r="B25" t="s">
        <v>57</v>
      </c>
      <c r="C25" t="s">
        <v>58</v>
      </c>
      <c r="D25" t="s">
        <v>30</v>
      </c>
      <c r="E25" s="3">
        <v>4.6774193548387064</v>
      </c>
      <c r="F25" s="3">
        <v>5.2580645161290285</v>
      </c>
      <c r="G25" s="3">
        <v>5.6153846153846132</v>
      </c>
    </row>
    <row r="26" spans="1:7" x14ac:dyDescent="0.25">
      <c r="A26" t="s">
        <v>6</v>
      </c>
      <c r="B26" t="s">
        <v>59</v>
      </c>
      <c r="C26" t="s">
        <v>60</v>
      </c>
      <c r="D26" t="s">
        <v>30</v>
      </c>
      <c r="E26" s="3">
        <v>6.0967741935483826</v>
      </c>
      <c r="F26" s="3">
        <v>5.6774193548387055</v>
      </c>
      <c r="G26" s="3">
        <v>4.3076923076923102</v>
      </c>
    </row>
    <row r="27" spans="1:7" x14ac:dyDescent="0.25">
      <c r="A27" t="s">
        <v>6</v>
      </c>
      <c r="B27" t="s">
        <v>61</v>
      </c>
      <c r="C27" t="s">
        <v>62</v>
      </c>
      <c r="D27" t="s">
        <v>9</v>
      </c>
      <c r="E27" s="3">
        <v>6.5161290322580596</v>
      </c>
      <c r="F27" s="3">
        <v>6.5806451612903176</v>
      </c>
      <c r="G27" s="3">
        <v>6.4615384615384563</v>
      </c>
    </row>
    <row r="28" spans="1:7" x14ac:dyDescent="0.25">
      <c r="A28" t="s">
        <v>6</v>
      </c>
      <c r="B28" t="s">
        <v>63</v>
      </c>
      <c r="C28" t="s">
        <v>64</v>
      </c>
      <c r="D28" t="s">
        <v>9</v>
      </c>
      <c r="E28" s="3">
        <v>20.774193548387167</v>
      </c>
      <c r="F28" s="3">
        <v>21.193548387096772</v>
      </c>
      <c r="G28" s="3">
        <v>20.230769230769177</v>
      </c>
    </row>
    <row r="29" spans="1:7" x14ac:dyDescent="0.25">
      <c r="A29" t="s">
        <v>6</v>
      </c>
      <c r="B29" t="s">
        <v>65</v>
      </c>
      <c r="C29" t="s">
        <v>66</v>
      </c>
      <c r="D29" t="s">
        <v>14</v>
      </c>
      <c r="E29" s="3">
        <v>2.5161290322580627</v>
      </c>
      <c r="F29" s="3">
        <v>2.1935483870967727</v>
      </c>
      <c r="G29" s="3">
        <v>2.2307692307692304</v>
      </c>
    </row>
    <row r="30" spans="1:7" x14ac:dyDescent="0.25">
      <c r="A30" t="s">
        <v>6</v>
      </c>
      <c r="B30" t="s">
        <v>67</v>
      </c>
      <c r="C30" t="s">
        <v>68</v>
      </c>
      <c r="D30" t="s">
        <v>14</v>
      </c>
      <c r="E30" s="3">
        <v>1.1935483870967734</v>
      </c>
      <c r="F30" s="3">
        <v>1.0322580645161283</v>
      </c>
      <c r="G30" s="3">
        <v>0.30769230769230771</v>
      </c>
    </row>
    <row r="31" spans="1:7" x14ac:dyDescent="0.25">
      <c r="A31" t="s">
        <v>6</v>
      </c>
      <c r="B31" t="s">
        <v>69</v>
      </c>
      <c r="C31" t="s">
        <v>70</v>
      </c>
      <c r="D31" t="s">
        <v>14</v>
      </c>
      <c r="E31" s="3">
        <v>6.1612903225806406</v>
      </c>
      <c r="F31" s="3">
        <v>6.8064516129032215</v>
      </c>
      <c r="G31" s="3">
        <v>7.0769230769230695</v>
      </c>
    </row>
    <row r="32" spans="1:7" x14ac:dyDescent="0.25">
      <c r="A32" t="s">
        <v>6</v>
      </c>
      <c r="B32" t="s">
        <v>71</v>
      </c>
      <c r="C32" t="s">
        <v>72</v>
      </c>
      <c r="D32" t="s">
        <v>30</v>
      </c>
      <c r="E32" s="3">
        <v>27.677419354838761</v>
      </c>
      <c r="F32" s="3">
        <v>24.870967741935537</v>
      </c>
      <c r="G32" s="3">
        <v>24.769230769230727</v>
      </c>
    </row>
    <row r="33" spans="1:7" x14ac:dyDescent="0.25">
      <c r="A33" t="s">
        <v>6</v>
      </c>
      <c r="B33" t="s">
        <v>73</v>
      </c>
      <c r="C33" t="s">
        <v>74</v>
      </c>
      <c r="D33" t="s">
        <v>30</v>
      </c>
      <c r="E33" s="3">
        <v>9.451612903225838</v>
      </c>
      <c r="F33" s="3">
        <v>9.6451612903226174</v>
      </c>
      <c r="G33" s="3">
        <v>6.7692307692307629</v>
      </c>
    </row>
    <row r="34" spans="1:7" x14ac:dyDescent="0.25">
      <c r="A34" t="s">
        <v>6</v>
      </c>
      <c r="B34" t="s">
        <v>75</v>
      </c>
      <c r="C34" t="s">
        <v>76</v>
      </c>
      <c r="D34" t="s">
        <v>30</v>
      </c>
      <c r="E34" s="3">
        <v>1.4516129032258054</v>
      </c>
      <c r="F34" s="3">
        <v>1.5806451612903214</v>
      </c>
      <c r="G34" s="3">
        <v>1.1538461538461535</v>
      </c>
    </row>
    <row r="35" spans="1:7" x14ac:dyDescent="0.25">
      <c r="A35" t="s">
        <v>6</v>
      </c>
      <c r="B35" t="s">
        <v>77</v>
      </c>
      <c r="C35" t="s">
        <v>78</v>
      </c>
      <c r="D35" t="s">
        <v>14</v>
      </c>
      <c r="E35" s="3">
        <v>15.806451612903427</v>
      </c>
      <c r="F35" s="3">
        <v>13.677419354838854</v>
      </c>
      <c r="G35" s="3">
        <v>14.769230769230735</v>
      </c>
    </row>
    <row r="36" spans="1:7" x14ac:dyDescent="0.25">
      <c r="A36" t="s">
        <v>6</v>
      </c>
      <c r="B36" t="s">
        <v>79</v>
      </c>
      <c r="C36" t="s">
        <v>80</v>
      </c>
      <c r="D36" t="s">
        <v>30</v>
      </c>
      <c r="E36" s="3">
        <v>12.000000000000099</v>
      </c>
      <c r="F36" s="3">
        <v>12.258064516129139</v>
      </c>
      <c r="G36" s="3">
        <v>13.692307692307661</v>
      </c>
    </row>
    <row r="37" spans="1:7" x14ac:dyDescent="0.25">
      <c r="A37" t="s">
        <v>6</v>
      </c>
      <c r="B37" t="s">
        <v>81</v>
      </c>
      <c r="C37" t="s">
        <v>82</v>
      </c>
      <c r="D37" t="s">
        <v>30</v>
      </c>
      <c r="E37" s="3">
        <v>5.4193548387096735</v>
      </c>
      <c r="F37" s="3">
        <v>7.2580645161290267</v>
      </c>
      <c r="G37" s="3">
        <v>5.1538461538461533</v>
      </c>
    </row>
    <row r="38" spans="1:7" x14ac:dyDescent="0.25">
      <c r="A38" t="s">
        <v>6</v>
      </c>
      <c r="B38" t="s">
        <v>83</v>
      </c>
      <c r="C38" t="s">
        <v>84</v>
      </c>
      <c r="D38" t="s">
        <v>30</v>
      </c>
      <c r="E38" s="3">
        <v>3.0322580645161268</v>
      </c>
      <c r="F38" s="3">
        <v>3.6451612903225779</v>
      </c>
      <c r="G38" s="3">
        <v>2.8461538461538471</v>
      </c>
    </row>
    <row r="39" spans="1:7" x14ac:dyDescent="0.25">
      <c r="A39" t="s">
        <v>6</v>
      </c>
      <c r="B39" t="s">
        <v>85</v>
      </c>
      <c r="C39" t="s">
        <v>86</v>
      </c>
      <c r="D39" t="s">
        <v>9</v>
      </c>
      <c r="E39" s="3">
        <v>2.8387096774193528</v>
      </c>
      <c r="F39" s="3">
        <v>2.2580645161290307</v>
      </c>
      <c r="G39" s="3">
        <v>2.0769230769230762</v>
      </c>
    </row>
    <row r="40" spans="1:7" x14ac:dyDescent="0.25">
      <c r="A40" t="s">
        <v>6</v>
      </c>
      <c r="B40" t="s">
        <v>87</v>
      </c>
      <c r="C40" t="s">
        <v>88</v>
      </c>
      <c r="D40" t="s">
        <v>14</v>
      </c>
      <c r="E40" s="3">
        <v>4.4838709677419324</v>
      </c>
      <c r="F40" s="3">
        <v>1.9354838709677404</v>
      </c>
      <c r="G40" s="3">
        <v>2.3846153846153846</v>
      </c>
    </row>
    <row r="41" spans="1:7" x14ac:dyDescent="0.25">
      <c r="A41" t="s">
        <v>6</v>
      </c>
      <c r="B41" t="s">
        <v>89</v>
      </c>
      <c r="C41" t="s">
        <v>90</v>
      </c>
      <c r="D41" t="s">
        <v>9</v>
      </c>
      <c r="E41" s="3">
        <v>3.8387096774193519</v>
      </c>
      <c r="F41" s="3">
        <v>6.4516129032258063E-2</v>
      </c>
      <c r="G41" s="3"/>
    </row>
    <row r="42" spans="1:7" x14ac:dyDescent="0.25">
      <c r="A42" t="s">
        <v>6</v>
      </c>
      <c r="B42" t="s">
        <v>91</v>
      </c>
      <c r="C42" t="s">
        <v>92</v>
      </c>
      <c r="D42" t="s">
        <v>9</v>
      </c>
      <c r="E42" s="3">
        <v>4.6451612903225774</v>
      </c>
      <c r="F42" s="3">
        <v>4.0645161290322553</v>
      </c>
      <c r="G42" s="3">
        <v>5.1538461538461533</v>
      </c>
    </row>
    <row r="43" spans="1:7" x14ac:dyDescent="0.25">
      <c r="A43" t="s">
        <v>6</v>
      </c>
      <c r="B43" t="s">
        <v>93</v>
      </c>
      <c r="C43" t="s">
        <v>94</v>
      </c>
      <c r="D43" t="s">
        <v>14</v>
      </c>
      <c r="E43" s="3">
        <v>14.645161290322751</v>
      </c>
      <c r="F43" s="3">
        <v>13.290322580645295</v>
      </c>
      <c r="G43" s="3">
        <v>14.538461538461505</v>
      </c>
    </row>
    <row r="44" spans="1:7" x14ac:dyDescent="0.25">
      <c r="A44" t="s">
        <v>6</v>
      </c>
      <c r="B44" t="s">
        <v>95</v>
      </c>
      <c r="C44" t="s">
        <v>96</v>
      </c>
      <c r="D44" t="s">
        <v>14</v>
      </c>
      <c r="E44" s="3">
        <v>7.2258064516128977</v>
      </c>
      <c r="F44" s="3">
        <v>7.9032258064516068</v>
      </c>
      <c r="G44" s="3">
        <v>11.923076923076898</v>
      </c>
    </row>
    <row r="45" spans="1:7" x14ac:dyDescent="0.25">
      <c r="A45" t="s">
        <v>6</v>
      </c>
      <c r="B45" t="s">
        <v>97</v>
      </c>
      <c r="C45" t="s">
        <v>98</v>
      </c>
      <c r="D45" t="s">
        <v>14</v>
      </c>
      <c r="E45" s="3">
        <v>5.4193548387096735</v>
      </c>
      <c r="F45" s="3">
        <v>4.6774193548387064</v>
      </c>
      <c r="G45" s="3">
        <v>4.3076923076923102</v>
      </c>
    </row>
    <row r="46" spans="1:7" x14ac:dyDescent="0.25">
      <c r="A46" t="s">
        <v>6</v>
      </c>
      <c r="B46" t="s">
        <v>99</v>
      </c>
      <c r="C46" t="s">
        <v>100</v>
      </c>
      <c r="D46" t="s">
        <v>30</v>
      </c>
      <c r="E46" s="3">
        <v>5.0967741935483835</v>
      </c>
      <c r="F46" s="3">
        <v>6.6774193548387046</v>
      </c>
      <c r="G46" s="3">
        <v>4.4615384615384635</v>
      </c>
    </row>
    <row r="47" spans="1:7" x14ac:dyDescent="0.25">
      <c r="A47" t="s">
        <v>6</v>
      </c>
      <c r="B47" t="s">
        <v>101</v>
      </c>
      <c r="C47" t="s">
        <v>102</v>
      </c>
      <c r="D47" t="s">
        <v>30</v>
      </c>
      <c r="E47" s="3">
        <v>3.9999999999999969</v>
      </c>
      <c r="F47" s="3">
        <v>3.9032258064516099</v>
      </c>
      <c r="G47" s="3">
        <v>4.0000000000000036</v>
      </c>
    </row>
    <row r="48" spans="1:7" x14ac:dyDescent="0.25">
      <c r="A48" t="s">
        <v>6</v>
      </c>
      <c r="B48" t="s">
        <v>103</v>
      </c>
      <c r="C48" t="s">
        <v>104</v>
      </c>
      <c r="D48" t="s">
        <v>30</v>
      </c>
      <c r="E48" s="3">
        <v>1.5483870967741924</v>
      </c>
      <c r="F48" s="3">
        <v>1.6451612903225794</v>
      </c>
      <c r="G48" s="3">
        <v>2.6153846153846159</v>
      </c>
    </row>
    <row r="49" spans="1:7" x14ac:dyDescent="0.25">
      <c r="A49" t="s">
        <v>6</v>
      </c>
      <c r="B49" t="s">
        <v>105</v>
      </c>
      <c r="C49" t="s">
        <v>106</v>
      </c>
      <c r="D49" t="s">
        <v>9</v>
      </c>
      <c r="E49" s="3">
        <v>6.6129032258064466</v>
      </c>
      <c r="F49" s="3">
        <v>6.1935483870967696</v>
      </c>
      <c r="G49" s="3">
        <v>4.4615384615384635</v>
      </c>
    </row>
    <row r="50" spans="1:7" x14ac:dyDescent="0.25">
      <c r="A50" t="s">
        <v>6</v>
      </c>
      <c r="B50" t="s">
        <v>107</v>
      </c>
      <c r="C50" t="s">
        <v>108</v>
      </c>
      <c r="D50" t="s">
        <v>9</v>
      </c>
      <c r="E50" s="3">
        <v>5.6129032258064475</v>
      </c>
      <c r="F50" s="3">
        <v>5.1612903225806415</v>
      </c>
      <c r="G50" s="3">
        <v>3.4615384615384639</v>
      </c>
    </row>
    <row r="51" spans="1:7" x14ac:dyDescent="0.25">
      <c r="A51" t="s">
        <v>6</v>
      </c>
      <c r="B51" t="s">
        <v>109</v>
      </c>
      <c r="C51" t="s">
        <v>110</v>
      </c>
      <c r="D51" t="s">
        <v>9</v>
      </c>
      <c r="E51" s="3">
        <v>3.4838709677419328</v>
      </c>
      <c r="F51" s="3">
        <v>2.2580645161290307</v>
      </c>
      <c r="G51" s="3">
        <v>1.3076923076923073</v>
      </c>
    </row>
    <row r="52" spans="1:7" x14ac:dyDescent="0.25">
      <c r="A52" t="s">
        <v>6</v>
      </c>
      <c r="B52" t="s">
        <v>111</v>
      </c>
      <c r="C52" t="s">
        <v>112</v>
      </c>
      <c r="D52" t="s">
        <v>14</v>
      </c>
      <c r="E52" s="3">
        <v>6.0322580645161246</v>
      </c>
      <c r="F52" s="3">
        <v>5.9677419354838666</v>
      </c>
      <c r="G52" s="3">
        <v>5.1538461538461533</v>
      </c>
    </row>
    <row r="53" spans="1:7" x14ac:dyDescent="0.25">
      <c r="A53" t="s">
        <v>6</v>
      </c>
      <c r="B53" t="s">
        <v>113</v>
      </c>
      <c r="C53" t="s">
        <v>114</v>
      </c>
      <c r="D53" t="s">
        <v>30</v>
      </c>
      <c r="E53" s="3">
        <v>2.3225806451612887</v>
      </c>
      <c r="F53" s="3">
        <v>2.0967741935483857</v>
      </c>
      <c r="G53" s="3">
        <v>3.0000000000000013</v>
      </c>
    </row>
    <row r="54" spans="1:7" x14ac:dyDescent="0.25">
      <c r="A54" t="s">
        <v>6</v>
      </c>
      <c r="B54" t="s">
        <v>115</v>
      </c>
      <c r="C54" t="s">
        <v>116</v>
      </c>
      <c r="D54" t="s">
        <v>30</v>
      </c>
      <c r="E54" s="3">
        <v>11.193548387096854</v>
      </c>
      <c r="F54" s="3">
        <v>10.322580645161345</v>
      </c>
      <c r="G54" s="3">
        <v>10.230769230769212</v>
      </c>
    </row>
    <row r="55" spans="1:7" x14ac:dyDescent="0.25">
      <c r="A55" t="s">
        <v>6</v>
      </c>
      <c r="B55" t="s">
        <v>117</v>
      </c>
      <c r="C55" t="s">
        <v>118</v>
      </c>
      <c r="D55" t="s">
        <v>30</v>
      </c>
      <c r="E55" s="3">
        <v>4.9677419354838674</v>
      </c>
      <c r="F55" s="3">
        <v>5.1290322580645125</v>
      </c>
      <c r="G55" s="3">
        <v>4.5384615384615401</v>
      </c>
    </row>
    <row r="56" spans="1:7" x14ac:dyDescent="0.25">
      <c r="A56" t="s">
        <v>6</v>
      </c>
      <c r="B56" t="s">
        <v>119</v>
      </c>
      <c r="C56" t="s">
        <v>120</v>
      </c>
      <c r="D56" t="s">
        <v>14</v>
      </c>
      <c r="E56" s="3">
        <v>2.1935483870967727</v>
      </c>
      <c r="F56" s="3">
        <v>2.9677419354838688</v>
      </c>
      <c r="G56" s="3">
        <v>2.5384615384615388</v>
      </c>
    </row>
    <row r="57" spans="1:7" x14ac:dyDescent="0.25">
      <c r="A57" t="s">
        <v>6</v>
      </c>
      <c r="B57" t="s">
        <v>121</v>
      </c>
      <c r="C57" t="s">
        <v>122</v>
      </c>
      <c r="D57" t="s">
        <v>14</v>
      </c>
      <c r="E57" s="3">
        <v>1.8709677419354824</v>
      </c>
      <c r="F57" s="3">
        <v>1.3870967741935474</v>
      </c>
      <c r="G57" s="3">
        <v>0.99999999999999978</v>
      </c>
    </row>
    <row r="58" spans="1:7" x14ac:dyDescent="0.25">
      <c r="A58" t="s">
        <v>6</v>
      </c>
      <c r="B58" t="s">
        <v>123</v>
      </c>
      <c r="C58" t="s">
        <v>124</v>
      </c>
      <c r="D58" t="s">
        <v>14</v>
      </c>
      <c r="E58" s="3">
        <v>0.41935483870967727</v>
      </c>
      <c r="F58" s="3">
        <v>0.54838709677419328</v>
      </c>
      <c r="G58" s="3">
        <v>0.38461538461538464</v>
      </c>
    </row>
    <row r="59" spans="1:7" x14ac:dyDescent="0.25">
      <c r="A59" t="s">
        <v>6</v>
      </c>
      <c r="B59" t="s">
        <v>125</v>
      </c>
      <c r="C59" t="s">
        <v>126</v>
      </c>
      <c r="D59" t="s">
        <v>30</v>
      </c>
      <c r="E59" s="3">
        <v>12.483870967742039</v>
      </c>
      <c r="F59" s="3">
        <v>12.161290322580749</v>
      </c>
      <c r="G59" s="3">
        <v>14.230769230769198</v>
      </c>
    </row>
    <row r="60" spans="1:7" x14ac:dyDescent="0.25">
      <c r="A60" t="s">
        <v>6</v>
      </c>
      <c r="B60" t="s">
        <v>127</v>
      </c>
      <c r="C60" t="s">
        <v>128</v>
      </c>
      <c r="D60" t="s">
        <v>9</v>
      </c>
      <c r="E60" s="3">
        <v>2.5806451612903207</v>
      </c>
      <c r="F60" s="3">
        <v>2.4193548387096757</v>
      </c>
      <c r="G60" s="3">
        <v>3.0000000000000013</v>
      </c>
    </row>
    <row r="61" spans="1:7" x14ac:dyDescent="0.25">
      <c r="A61" t="s">
        <v>6</v>
      </c>
      <c r="B61" t="s">
        <v>129</v>
      </c>
      <c r="C61" t="s">
        <v>130</v>
      </c>
      <c r="D61" t="s">
        <v>9</v>
      </c>
      <c r="E61" s="3">
        <v>1.6451612903225794</v>
      </c>
      <c r="F61" s="3">
        <v>0.99999999999999933</v>
      </c>
      <c r="G61" s="3">
        <v>1.3846153846153841</v>
      </c>
    </row>
    <row r="62" spans="1:7" x14ac:dyDescent="0.25">
      <c r="A62" t="s">
        <v>6</v>
      </c>
      <c r="B62" t="s">
        <v>131</v>
      </c>
      <c r="C62" t="s">
        <v>132</v>
      </c>
      <c r="D62" t="s">
        <v>30</v>
      </c>
      <c r="E62" s="3">
        <v>0.64516129032258029</v>
      </c>
      <c r="F62" s="3">
        <v>0.90322580645161232</v>
      </c>
      <c r="G62" s="3">
        <v>0.23076923076923078</v>
      </c>
    </row>
    <row r="63" spans="1:7" x14ac:dyDescent="0.25">
      <c r="A63" t="s">
        <v>6</v>
      </c>
      <c r="B63" t="s">
        <v>133</v>
      </c>
      <c r="C63" t="s">
        <v>134</v>
      </c>
      <c r="D63" t="s">
        <v>9</v>
      </c>
      <c r="E63" s="3">
        <v>4.1935483870967714</v>
      </c>
      <c r="F63" s="3">
        <v>4.7096774193548354</v>
      </c>
      <c r="G63" s="3">
        <v>4.2307692307692335</v>
      </c>
    </row>
    <row r="64" spans="1:7" x14ac:dyDescent="0.25">
      <c r="A64" t="s">
        <v>6</v>
      </c>
      <c r="B64" t="s">
        <v>135</v>
      </c>
      <c r="C64" t="s">
        <v>136</v>
      </c>
      <c r="D64" t="s">
        <v>30</v>
      </c>
      <c r="E64" s="3">
        <v>0.54838709677419328</v>
      </c>
      <c r="F64" s="3">
        <v>0.74193548387096731</v>
      </c>
      <c r="G64" s="3">
        <v>0.69230769230769229</v>
      </c>
    </row>
    <row r="65" spans="1:7" x14ac:dyDescent="0.25">
      <c r="A65" t="s">
        <v>6</v>
      </c>
      <c r="B65" t="s">
        <v>137</v>
      </c>
      <c r="C65" t="s">
        <v>138</v>
      </c>
      <c r="D65" t="s">
        <v>30</v>
      </c>
      <c r="E65" s="3">
        <v>0.74193548387096731</v>
      </c>
      <c r="F65" s="3">
        <v>0.51612903225806428</v>
      </c>
      <c r="G65" s="3">
        <v>0.76923076923076916</v>
      </c>
    </row>
    <row r="66" spans="1:7" x14ac:dyDescent="0.25">
      <c r="A66" t="s">
        <v>6</v>
      </c>
      <c r="B66" t="s">
        <v>139</v>
      </c>
      <c r="C66" t="s">
        <v>140</v>
      </c>
      <c r="D66" t="s">
        <v>14</v>
      </c>
      <c r="E66" s="3">
        <v>2.3548387096774177</v>
      </c>
      <c r="F66" s="3">
        <v>2.1290322580645147</v>
      </c>
      <c r="G66" s="3">
        <v>1.9999999999999991</v>
      </c>
    </row>
    <row r="67" spans="1:7" x14ac:dyDescent="0.25">
      <c r="A67" t="s">
        <v>6</v>
      </c>
      <c r="B67" t="s">
        <v>141</v>
      </c>
      <c r="C67" t="s">
        <v>142</v>
      </c>
      <c r="D67" t="s">
        <v>14</v>
      </c>
      <c r="E67" s="3">
        <v>1.6774193548387084</v>
      </c>
      <c r="F67" s="3">
        <v>1.8387096774193534</v>
      </c>
      <c r="G67" s="3">
        <v>0.99999999999999978</v>
      </c>
    </row>
    <row r="68" spans="1:7" x14ac:dyDescent="0.25">
      <c r="A68" t="s">
        <v>6</v>
      </c>
      <c r="B68" t="s">
        <v>143</v>
      </c>
      <c r="C68" t="s">
        <v>144</v>
      </c>
      <c r="D68" t="s">
        <v>9</v>
      </c>
      <c r="E68" s="3">
        <v>4.8709677419354804</v>
      </c>
      <c r="F68" s="3">
        <v>6.2903225806451566</v>
      </c>
      <c r="G68" s="3">
        <v>4.6153846153846168</v>
      </c>
    </row>
    <row r="69" spans="1:7" x14ac:dyDescent="0.25">
      <c r="A69" t="s">
        <v>6</v>
      </c>
      <c r="B69" t="s">
        <v>145</v>
      </c>
      <c r="C69" t="s">
        <v>146</v>
      </c>
      <c r="D69" t="s">
        <v>14</v>
      </c>
      <c r="E69" s="3">
        <v>6.1935483870967696</v>
      </c>
      <c r="F69" s="3">
        <v>6.0967741935483826</v>
      </c>
      <c r="G69" s="3">
        <v>6.2307692307692264</v>
      </c>
    </row>
    <row r="70" spans="1:7" x14ac:dyDescent="0.25">
      <c r="A70" t="s">
        <v>6</v>
      </c>
      <c r="B70" t="s">
        <v>147</v>
      </c>
      <c r="C70" t="s">
        <v>148</v>
      </c>
      <c r="D70" t="s">
        <v>14</v>
      </c>
      <c r="E70" s="3">
        <v>34.161290322580413</v>
      </c>
      <c r="F70" s="3">
        <v>21.483870967742</v>
      </c>
      <c r="G70" s="3">
        <v>16.230769230769191</v>
      </c>
    </row>
    <row r="71" spans="1:7" x14ac:dyDescent="0.25">
      <c r="A71" t="s">
        <v>6</v>
      </c>
      <c r="B71" t="s">
        <v>149</v>
      </c>
      <c r="C71" t="s">
        <v>150</v>
      </c>
      <c r="D71" t="s">
        <v>14</v>
      </c>
      <c r="E71" s="3">
        <v>4.1290322580645133</v>
      </c>
      <c r="F71" s="3">
        <v>4.3548387096774164</v>
      </c>
      <c r="G71" s="3">
        <v>3.1538461538461555</v>
      </c>
    </row>
    <row r="72" spans="1:7" x14ac:dyDescent="0.25">
      <c r="A72" t="s">
        <v>6</v>
      </c>
      <c r="B72" t="s">
        <v>151</v>
      </c>
      <c r="C72" t="s">
        <v>152</v>
      </c>
      <c r="D72" t="s">
        <v>9</v>
      </c>
      <c r="E72" s="3">
        <v>9.9677419354839163</v>
      </c>
      <c r="F72" s="3">
        <v>6.9032258064516077</v>
      </c>
      <c r="G72" s="3">
        <v>5.6923076923076898</v>
      </c>
    </row>
    <row r="73" spans="1:7" x14ac:dyDescent="0.25">
      <c r="A73" t="s">
        <v>6</v>
      </c>
      <c r="B73" t="s">
        <v>153</v>
      </c>
      <c r="C73" t="s">
        <v>154</v>
      </c>
      <c r="D73" t="s">
        <v>30</v>
      </c>
      <c r="E73" s="3">
        <v>0.74193548387096731</v>
      </c>
      <c r="F73" s="3">
        <v>0.80645161290322531</v>
      </c>
      <c r="G73" s="3">
        <v>0.76923076923076916</v>
      </c>
    </row>
    <row r="74" spans="1:7" x14ac:dyDescent="0.25">
      <c r="A74" t="s">
        <v>6</v>
      </c>
      <c r="B74" t="s">
        <v>155</v>
      </c>
      <c r="C74" t="s">
        <v>156</v>
      </c>
      <c r="D74" t="s">
        <v>14</v>
      </c>
      <c r="E74" s="3">
        <v>0.41935483870967727</v>
      </c>
      <c r="F74" s="3">
        <v>0.45161290322580627</v>
      </c>
      <c r="G74" s="3">
        <v>0.46153846153846156</v>
      </c>
    </row>
    <row r="75" spans="1:7" x14ac:dyDescent="0.25">
      <c r="A75" t="s">
        <v>6</v>
      </c>
      <c r="B75" t="s">
        <v>157</v>
      </c>
      <c r="C75" t="s">
        <v>158</v>
      </c>
      <c r="D75" t="s">
        <v>9</v>
      </c>
      <c r="E75" s="3">
        <v>1.5806451612903214</v>
      </c>
      <c r="F75" s="3">
        <v>0.90322580645161232</v>
      </c>
      <c r="G75" s="3">
        <v>1.1538461538461535</v>
      </c>
    </row>
    <row r="76" spans="1:7" x14ac:dyDescent="0.25">
      <c r="A76" t="s">
        <v>6</v>
      </c>
      <c r="B76" t="s">
        <v>159</v>
      </c>
      <c r="C76" t="s">
        <v>160</v>
      </c>
      <c r="D76" t="s">
        <v>9</v>
      </c>
      <c r="E76" s="3">
        <v>5.9677419354838666</v>
      </c>
      <c r="F76" s="3">
        <v>5.9354838709677376</v>
      </c>
      <c r="G76" s="3">
        <v>3.7692307692307723</v>
      </c>
    </row>
    <row r="77" spans="1:7" x14ac:dyDescent="0.25">
      <c r="A77" t="s">
        <v>6</v>
      </c>
      <c r="B77" t="s">
        <v>161</v>
      </c>
      <c r="C77" t="s">
        <v>162</v>
      </c>
      <c r="D77" t="s">
        <v>14</v>
      </c>
      <c r="E77" s="3">
        <v>6.2258064516128986</v>
      </c>
      <c r="F77" s="3">
        <v>7.4516129032258007</v>
      </c>
      <c r="G77" s="3">
        <v>5.6923076923076898</v>
      </c>
    </row>
    <row r="78" spans="1:7" x14ac:dyDescent="0.25">
      <c r="A78" t="s">
        <v>6</v>
      </c>
      <c r="B78" t="s">
        <v>163</v>
      </c>
      <c r="C78" t="s">
        <v>164</v>
      </c>
      <c r="D78" t="s">
        <v>14</v>
      </c>
      <c r="E78" s="3">
        <v>3.2903225806451588</v>
      </c>
      <c r="F78" s="3">
        <v>2.9354838709677398</v>
      </c>
      <c r="G78" s="3">
        <v>0.92307692307692291</v>
      </c>
    </row>
    <row r="79" spans="1:7" x14ac:dyDescent="0.25">
      <c r="A79" t="s">
        <v>6</v>
      </c>
      <c r="B79" t="s">
        <v>930</v>
      </c>
      <c r="C79" t="s">
        <v>931</v>
      </c>
      <c r="D79" t="s">
        <v>14</v>
      </c>
      <c r="E79" s="3">
        <v>0.96774193548387033</v>
      </c>
      <c r="F79" s="3"/>
      <c r="G79" s="3"/>
    </row>
    <row r="80" spans="1:7" x14ac:dyDescent="0.25">
      <c r="A80" t="s">
        <v>6</v>
      </c>
      <c r="B80" t="s">
        <v>165</v>
      </c>
      <c r="C80" t="s">
        <v>166</v>
      </c>
      <c r="D80" t="s">
        <v>30</v>
      </c>
      <c r="E80" s="3">
        <v>0.87096774193548332</v>
      </c>
      <c r="F80" s="3">
        <v>0.35483870967741926</v>
      </c>
      <c r="G80" s="3">
        <v>0.38461538461538464</v>
      </c>
    </row>
    <row r="81" spans="1:7" x14ac:dyDescent="0.25">
      <c r="A81" t="s">
        <v>6</v>
      </c>
      <c r="B81" t="s">
        <v>167</v>
      </c>
      <c r="C81" t="s">
        <v>168</v>
      </c>
      <c r="D81" t="s">
        <v>9</v>
      </c>
      <c r="E81" s="3">
        <v>11.064516129032333</v>
      </c>
      <c r="F81" s="3">
        <v>10.387096774193605</v>
      </c>
      <c r="G81" s="3">
        <v>9.9999999999999822</v>
      </c>
    </row>
    <row r="82" spans="1:7" x14ac:dyDescent="0.25">
      <c r="A82" t="s">
        <v>6</v>
      </c>
      <c r="B82" t="s">
        <v>169</v>
      </c>
      <c r="C82" t="s">
        <v>170</v>
      </c>
      <c r="D82" t="s">
        <v>30</v>
      </c>
      <c r="E82" s="3">
        <v>20.322580645161459</v>
      </c>
      <c r="F82" s="3">
        <v>20.290322580645245</v>
      </c>
      <c r="G82" s="3">
        <v>19.46153846153841</v>
      </c>
    </row>
    <row r="83" spans="1:7" x14ac:dyDescent="0.25">
      <c r="A83" t="s">
        <v>6</v>
      </c>
      <c r="B83" t="s">
        <v>171</v>
      </c>
      <c r="C83" t="s">
        <v>172</v>
      </c>
      <c r="D83" t="s">
        <v>30</v>
      </c>
      <c r="E83" s="3">
        <v>22.709677419354922</v>
      </c>
      <c r="F83" s="3">
        <v>23.387096774193555</v>
      </c>
      <c r="G83" s="3">
        <v>24.999999999999929</v>
      </c>
    </row>
    <row r="84" spans="1:7" x14ac:dyDescent="0.25">
      <c r="A84" t="s">
        <v>6</v>
      </c>
      <c r="B84" t="s">
        <v>173</v>
      </c>
      <c r="C84" t="s">
        <v>174</v>
      </c>
      <c r="D84" t="s">
        <v>9</v>
      </c>
      <c r="E84" s="3">
        <v>5.6774193548387055</v>
      </c>
      <c r="F84" s="3">
        <v>4.8064516129032224</v>
      </c>
      <c r="G84" s="3">
        <v>5.4615384615384599</v>
      </c>
    </row>
    <row r="85" spans="1:7" x14ac:dyDescent="0.25">
      <c r="A85" t="s">
        <v>6</v>
      </c>
      <c r="B85" t="s">
        <v>175</v>
      </c>
      <c r="C85" t="s">
        <v>176</v>
      </c>
      <c r="D85" t="s">
        <v>30</v>
      </c>
      <c r="E85" s="3"/>
      <c r="F85" s="3">
        <v>1.4838709677419344</v>
      </c>
      <c r="G85" s="3">
        <v>2.1538461538461533</v>
      </c>
    </row>
    <row r="86" spans="1:7" x14ac:dyDescent="0.25">
      <c r="A86" t="s">
        <v>6</v>
      </c>
      <c r="B86" t="s">
        <v>177</v>
      </c>
      <c r="C86" t="s">
        <v>178</v>
      </c>
      <c r="D86" t="s">
        <v>30</v>
      </c>
      <c r="E86" s="3">
        <v>10.580645161290384</v>
      </c>
      <c r="F86" s="3">
        <v>15.548387096774313</v>
      </c>
      <c r="G86" s="3">
        <v>11.538461538461515</v>
      </c>
    </row>
    <row r="87" spans="1:7" x14ac:dyDescent="0.25">
      <c r="A87" t="s">
        <v>6</v>
      </c>
      <c r="B87" t="s">
        <v>179</v>
      </c>
      <c r="C87" t="s">
        <v>180</v>
      </c>
      <c r="D87" t="s">
        <v>9</v>
      </c>
      <c r="E87" s="3">
        <v>14.193548387096932</v>
      </c>
      <c r="F87" s="3">
        <v>13.129032258064646</v>
      </c>
      <c r="G87" s="3">
        <v>14.384615384615351</v>
      </c>
    </row>
    <row r="88" spans="1:7" x14ac:dyDescent="0.25">
      <c r="A88" t="s">
        <v>6</v>
      </c>
      <c r="B88" t="s">
        <v>181</v>
      </c>
      <c r="C88" t="s">
        <v>182</v>
      </c>
      <c r="D88" t="s">
        <v>9</v>
      </c>
      <c r="E88" s="3">
        <v>0.38709677419354827</v>
      </c>
      <c r="F88" s="3">
        <v>0.54838709677419328</v>
      </c>
      <c r="G88" s="3"/>
    </row>
    <row r="89" spans="1:7" x14ac:dyDescent="0.25">
      <c r="A89" t="s">
        <v>6</v>
      </c>
      <c r="B89" t="s">
        <v>183</v>
      </c>
      <c r="C89" t="s">
        <v>184</v>
      </c>
      <c r="D89" t="s">
        <v>14</v>
      </c>
      <c r="E89" s="3">
        <v>11.516129032258151</v>
      </c>
      <c r="F89" s="3">
        <v>8.5161290322580712</v>
      </c>
      <c r="G89" s="3">
        <v>10.538461538461519</v>
      </c>
    </row>
    <row r="90" spans="1:7" x14ac:dyDescent="0.25">
      <c r="A90" t="s">
        <v>6</v>
      </c>
      <c r="B90" t="s">
        <v>185</v>
      </c>
      <c r="C90" t="s">
        <v>186</v>
      </c>
      <c r="D90" t="s">
        <v>14</v>
      </c>
      <c r="E90" s="3">
        <v>7.4838709677419297</v>
      </c>
      <c r="F90" s="3">
        <v>6.7741935483870916</v>
      </c>
      <c r="G90" s="3">
        <v>5.6923076923076898</v>
      </c>
    </row>
    <row r="91" spans="1:7" x14ac:dyDescent="0.25">
      <c r="A91" t="s">
        <v>6</v>
      </c>
      <c r="B91" t="s">
        <v>187</v>
      </c>
      <c r="C91" t="s">
        <v>188</v>
      </c>
      <c r="D91" t="s">
        <v>30</v>
      </c>
      <c r="E91" s="3">
        <v>5.2258064516128995</v>
      </c>
      <c r="F91" s="3">
        <v>6.2580645161290276</v>
      </c>
      <c r="G91" s="3">
        <v>5.2307692307692299</v>
      </c>
    </row>
    <row r="92" spans="1:7" x14ac:dyDescent="0.25">
      <c r="A92" t="s">
        <v>6</v>
      </c>
      <c r="B92" t="s">
        <v>189</v>
      </c>
      <c r="C92" t="s">
        <v>190</v>
      </c>
      <c r="D92" t="s">
        <v>14</v>
      </c>
      <c r="E92" s="3">
        <v>26.516129032258046</v>
      </c>
      <c r="F92" s="3">
        <v>23.903225806451697</v>
      </c>
      <c r="G92" s="3">
        <v>24.153846153846086</v>
      </c>
    </row>
    <row r="93" spans="1:7" x14ac:dyDescent="0.25">
      <c r="A93" t="s">
        <v>6</v>
      </c>
      <c r="B93" t="s">
        <v>191</v>
      </c>
      <c r="C93" t="s">
        <v>192</v>
      </c>
      <c r="D93" t="s">
        <v>14</v>
      </c>
      <c r="E93" s="3">
        <v>3.2580645161290298</v>
      </c>
      <c r="F93" s="3">
        <v>3.2580645161290298</v>
      </c>
      <c r="G93" s="3">
        <v>3.0769230769230784</v>
      </c>
    </row>
    <row r="94" spans="1:7" x14ac:dyDescent="0.25">
      <c r="A94" t="s">
        <v>6</v>
      </c>
      <c r="B94" t="s">
        <v>193</v>
      </c>
      <c r="C94" t="s">
        <v>194</v>
      </c>
      <c r="D94" t="s">
        <v>9</v>
      </c>
      <c r="E94" s="3">
        <v>4.2903225806451584</v>
      </c>
      <c r="F94" s="3">
        <v>4.5161290322580614</v>
      </c>
      <c r="G94" s="3">
        <v>4.5384615384615401</v>
      </c>
    </row>
    <row r="95" spans="1:7" x14ac:dyDescent="0.25">
      <c r="A95" t="s">
        <v>6</v>
      </c>
      <c r="B95" t="s">
        <v>195</v>
      </c>
      <c r="C95" t="s">
        <v>196</v>
      </c>
      <c r="D95" t="s">
        <v>9</v>
      </c>
      <c r="E95" s="3">
        <v>2.3870967741935467</v>
      </c>
      <c r="F95" s="3">
        <v>3.0645161290322558</v>
      </c>
      <c r="G95" s="3">
        <v>1.8461538461538454</v>
      </c>
    </row>
    <row r="96" spans="1:7" x14ac:dyDescent="0.25">
      <c r="A96" t="s">
        <v>6</v>
      </c>
      <c r="B96" t="s">
        <v>197</v>
      </c>
      <c r="C96" t="s">
        <v>198</v>
      </c>
      <c r="D96" t="s">
        <v>14</v>
      </c>
      <c r="E96" s="3">
        <v>18.225806451613046</v>
      </c>
      <c r="F96" s="3">
        <v>17.387096774193715</v>
      </c>
      <c r="G96" s="3">
        <v>15.999999999999961</v>
      </c>
    </row>
    <row r="97" spans="1:7" x14ac:dyDescent="0.25">
      <c r="A97" t="s">
        <v>6</v>
      </c>
      <c r="B97" t="s">
        <v>199</v>
      </c>
      <c r="C97" t="s">
        <v>200</v>
      </c>
      <c r="D97" t="s">
        <v>9</v>
      </c>
      <c r="E97" s="3">
        <v>1.3548387096774184</v>
      </c>
      <c r="F97" s="3">
        <v>1.1290322580645153</v>
      </c>
      <c r="G97" s="3">
        <v>1.9230769230769222</v>
      </c>
    </row>
    <row r="98" spans="1:7" x14ac:dyDescent="0.25">
      <c r="A98" t="s">
        <v>6</v>
      </c>
      <c r="B98" t="s">
        <v>201</v>
      </c>
      <c r="C98" t="s">
        <v>202</v>
      </c>
      <c r="D98" t="s">
        <v>14</v>
      </c>
      <c r="E98" s="3">
        <v>0.99999999999999933</v>
      </c>
      <c r="F98" s="3">
        <v>1.9032258064516114</v>
      </c>
      <c r="G98" s="3">
        <v>2.2307692307692304</v>
      </c>
    </row>
    <row r="99" spans="1:7" x14ac:dyDescent="0.25">
      <c r="A99" t="s">
        <v>6</v>
      </c>
      <c r="B99" t="s">
        <v>203</v>
      </c>
      <c r="C99" t="s">
        <v>204</v>
      </c>
      <c r="D99" t="s">
        <v>30</v>
      </c>
      <c r="E99" s="3">
        <v>4.5483870967741904</v>
      </c>
      <c r="F99" s="3">
        <v>5.3225806451612865</v>
      </c>
      <c r="G99" s="3">
        <v>6.6153846153846096</v>
      </c>
    </row>
    <row r="100" spans="1:7" x14ac:dyDescent="0.25">
      <c r="A100" t="s">
        <v>6</v>
      </c>
      <c r="B100" t="s">
        <v>932</v>
      </c>
      <c r="C100" t="s">
        <v>933</v>
      </c>
      <c r="D100" t="s">
        <v>30</v>
      </c>
      <c r="E100" s="3">
        <v>6.4516129032258063E-2</v>
      </c>
      <c r="F100" s="3"/>
      <c r="G100" s="3"/>
    </row>
    <row r="101" spans="1:7" x14ac:dyDescent="0.25">
      <c r="A101" t="s">
        <v>6</v>
      </c>
      <c r="B101" t="s">
        <v>934</v>
      </c>
      <c r="C101" t="s">
        <v>935</v>
      </c>
      <c r="D101" t="s">
        <v>30</v>
      </c>
      <c r="E101" s="3">
        <v>0.6774193548387093</v>
      </c>
      <c r="F101" s="3"/>
      <c r="G101" s="3"/>
    </row>
    <row r="102" spans="1:7" x14ac:dyDescent="0.25">
      <c r="A102" t="s">
        <v>6</v>
      </c>
      <c r="B102" t="s">
        <v>205</v>
      </c>
      <c r="C102" t="s">
        <v>206</v>
      </c>
      <c r="D102" t="s">
        <v>14</v>
      </c>
      <c r="E102" s="3">
        <v>2.5806451612903207</v>
      </c>
      <c r="F102" s="3">
        <v>2.3870967741935467</v>
      </c>
      <c r="G102" s="3">
        <v>0.99999999999999978</v>
      </c>
    </row>
    <row r="103" spans="1:7" x14ac:dyDescent="0.25">
      <c r="A103" t="s">
        <v>6</v>
      </c>
      <c r="B103" t="s">
        <v>207</v>
      </c>
      <c r="C103" t="s">
        <v>208</v>
      </c>
      <c r="D103" t="s">
        <v>9</v>
      </c>
      <c r="E103" s="3">
        <v>2.8064516129032238</v>
      </c>
      <c r="F103" s="3">
        <v>2.2903225806451597</v>
      </c>
      <c r="G103" s="3">
        <v>1.9999999999999991</v>
      </c>
    </row>
    <row r="104" spans="1:7" x14ac:dyDescent="0.25">
      <c r="A104" t="s">
        <v>6</v>
      </c>
      <c r="B104" t="s">
        <v>209</v>
      </c>
      <c r="C104" t="s">
        <v>210</v>
      </c>
      <c r="D104" t="s">
        <v>30</v>
      </c>
      <c r="E104" s="3">
        <v>5.9354838709677376</v>
      </c>
      <c r="F104" s="3">
        <v>5.1935483870967705</v>
      </c>
      <c r="G104" s="3">
        <v>5.2307692307692299</v>
      </c>
    </row>
    <row r="105" spans="1:7" x14ac:dyDescent="0.25">
      <c r="A105" t="s">
        <v>6</v>
      </c>
      <c r="B105" t="s">
        <v>211</v>
      </c>
      <c r="C105" t="s">
        <v>212</v>
      </c>
      <c r="D105" t="s">
        <v>14</v>
      </c>
      <c r="E105" s="3">
        <v>2.3548387096774177</v>
      </c>
      <c r="F105" s="3">
        <v>1.7096774193548374</v>
      </c>
      <c r="G105" s="3"/>
    </row>
    <row r="106" spans="1:7" x14ac:dyDescent="0.25">
      <c r="A106" t="s">
        <v>6</v>
      </c>
      <c r="B106" t="s">
        <v>213</v>
      </c>
      <c r="C106" t="s">
        <v>214</v>
      </c>
      <c r="D106" t="s">
        <v>9</v>
      </c>
      <c r="E106" s="3">
        <v>10.903225806451683</v>
      </c>
      <c r="F106" s="3">
        <v>8.9032258064516299</v>
      </c>
      <c r="G106" s="3">
        <v>6.6923076923076863</v>
      </c>
    </row>
    <row r="107" spans="1:7" x14ac:dyDescent="0.25">
      <c r="A107" t="s">
        <v>6</v>
      </c>
      <c r="B107" t="s">
        <v>215</v>
      </c>
      <c r="C107" t="s">
        <v>216</v>
      </c>
      <c r="D107" t="s">
        <v>30</v>
      </c>
      <c r="E107" s="3">
        <v>5.4193548387096735</v>
      </c>
      <c r="F107" s="3">
        <v>9.4193548387097081</v>
      </c>
      <c r="G107" s="3">
        <v>8.4615384615384492</v>
      </c>
    </row>
    <row r="108" spans="1:7" x14ac:dyDescent="0.25">
      <c r="A108" t="s">
        <v>6</v>
      </c>
      <c r="B108" t="s">
        <v>217</v>
      </c>
      <c r="C108" t="s">
        <v>218</v>
      </c>
      <c r="D108" t="s">
        <v>30</v>
      </c>
      <c r="E108" s="3">
        <v>1.1290322580645153</v>
      </c>
      <c r="F108" s="3">
        <v>1.4516129032258054</v>
      </c>
      <c r="G108" s="3">
        <v>1.461538461538461</v>
      </c>
    </row>
    <row r="109" spans="1:7" x14ac:dyDescent="0.25">
      <c r="A109" t="s">
        <v>6</v>
      </c>
      <c r="B109" t="s">
        <v>219</v>
      </c>
      <c r="C109" t="s">
        <v>220</v>
      </c>
      <c r="D109" t="s">
        <v>9</v>
      </c>
      <c r="E109" s="3"/>
      <c r="F109" s="3">
        <v>2.6774193548387077</v>
      </c>
      <c r="G109" s="3">
        <v>0.30769230769230771</v>
      </c>
    </row>
    <row r="110" spans="1:7" x14ac:dyDescent="0.25">
      <c r="A110" t="s">
        <v>6</v>
      </c>
      <c r="B110" t="s">
        <v>221</v>
      </c>
      <c r="C110" t="s">
        <v>222</v>
      </c>
      <c r="D110" t="s">
        <v>9</v>
      </c>
      <c r="E110" s="3"/>
      <c r="F110" s="3">
        <v>8.2258064516129021</v>
      </c>
      <c r="G110" s="3">
        <v>12.153846153846128</v>
      </c>
    </row>
    <row r="111" spans="1:7" x14ac:dyDescent="0.25">
      <c r="A111" t="s">
        <v>6</v>
      </c>
      <c r="B111" t="s">
        <v>223</v>
      </c>
      <c r="C111" t="s">
        <v>224</v>
      </c>
      <c r="D111" t="s">
        <v>14</v>
      </c>
      <c r="E111" s="3"/>
      <c r="F111" s="3">
        <v>4.9999999999999964</v>
      </c>
      <c r="G111" s="3">
        <v>6.7692307692307629</v>
      </c>
    </row>
    <row r="112" spans="1:7" x14ac:dyDescent="0.25">
      <c r="A112" t="s">
        <v>6</v>
      </c>
      <c r="B112" t="s">
        <v>225</v>
      </c>
      <c r="C112" t="s">
        <v>226</v>
      </c>
      <c r="D112" t="s">
        <v>224</v>
      </c>
      <c r="E112" s="3"/>
      <c r="F112" s="3"/>
      <c r="G112" s="3">
        <v>6.3846153846153797</v>
      </c>
    </row>
    <row r="113" spans="1:7" x14ac:dyDescent="0.25">
      <c r="A113" t="s">
        <v>227</v>
      </c>
      <c r="B113" t="s">
        <v>228</v>
      </c>
      <c r="C113" t="s">
        <v>229</v>
      </c>
      <c r="D113" t="s">
        <v>14</v>
      </c>
      <c r="E113" s="3">
        <v>4.6774193548387064</v>
      </c>
      <c r="F113" s="3">
        <v>4.5161290322580614</v>
      </c>
      <c r="G113" s="3">
        <v>4.1538461538461569</v>
      </c>
    </row>
    <row r="114" spans="1:7" x14ac:dyDescent="0.25">
      <c r="A114" t="s">
        <v>227</v>
      </c>
      <c r="B114" t="s">
        <v>230</v>
      </c>
      <c r="C114" t="s">
        <v>231</v>
      </c>
      <c r="D114" t="s">
        <v>30</v>
      </c>
      <c r="E114" s="3">
        <v>0.99999999999999933</v>
      </c>
      <c r="F114" s="3">
        <v>1.1290322580645153</v>
      </c>
      <c r="G114" s="3">
        <v>1.6923076923076916</v>
      </c>
    </row>
    <row r="115" spans="1:7" x14ac:dyDescent="0.25">
      <c r="A115" t="s">
        <v>227</v>
      </c>
      <c r="B115" t="s">
        <v>232</v>
      </c>
      <c r="C115" t="s">
        <v>233</v>
      </c>
      <c r="D115" t="s">
        <v>14</v>
      </c>
      <c r="E115" s="3">
        <v>6.3870967741935436</v>
      </c>
      <c r="F115" s="3">
        <v>5.9677419354838666</v>
      </c>
      <c r="G115" s="3">
        <v>5.2307692307692299</v>
      </c>
    </row>
    <row r="116" spans="1:7" x14ac:dyDescent="0.25">
      <c r="A116" t="s">
        <v>227</v>
      </c>
      <c r="B116" t="s">
        <v>234</v>
      </c>
      <c r="C116" t="s">
        <v>235</v>
      </c>
      <c r="D116" t="s">
        <v>14</v>
      </c>
      <c r="E116" s="3">
        <v>0.96774193548387033</v>
      </c>
      <c r="F116" s="3">
        <v>1.4516129032258054</v>
      </c>
      <c r="G116" s="3">
        <v>1.3076923076923073</v>
      </c>
    </row>
    <row r="117" spans="1:7" x14ac:dyDescent="0.25">
      <c r="A117" t="s">
        <v>227</v>
      </c>
      <c r="B117" t="s">
        <v>236</v>
      </c>
      <c r="C117" t="s">
        <v>237</v>
      </c>
      <c r="D117" t="s">
        <v>14</v>
      </c>
      <c r="E117" s="3">
        <v>14.22580645161303</v>
      </c>
      <c r="F117" s="3">
        <v>18.387096774193488</v>
      </c>
      <c r="G117" s="3">
        <v>17.307692307692299</v>
      </c>
    </row>
    <row r="118" spans="1:7" x14ac:dyDescent="0.25">
      <c r="A118" t="s">
        <v>227</v>
      </c>
      <c r="B118" t="s">
        <v>238</v>
      </c>
      <c r="C118" t="s">
        <v>239</v>
      </c>
      <c r="D118" t="s">
        <v>30</v>
      </c>
      <c r="E118" s="3">
        <v>115.67741935483787</v>
      </c>
      <c r="F118" s="3">
        <v>106.67741935483842</v>
      </c>
      <c r="G118" s="3">
        <v>122.3076923076938</v>
      </c>
    </row>
    <row r="119" spans="1:7" x14ac:dyDescent="0.25">
      <c r="A119" t="s">
        <v>227</v>
      </c>
      <c r="B119" t="s">
        <v>240</v>
      </c>
      <c r="C119" t="s">
        <v>241</v>
      </c>
      <c r="D119" t="s">
        <v>9</v>
      </c>
      <c r="E119" s="3">
        <v>11.903225806451713</v>
      </c>
      <c r="F119" s="3">
        <v>12.709677419354875</v>
      </c>
      <c r="G119" s="3">
        <v>11.692307692307669</v>
      </c>
    </row>
    <row r="120" spans="1:7" x14ac:dyDescent="0.25">
      <c r="A120" t="s">
        <v>227</v>
      </c>
      <c r="B120" t="s">
        <v>242</v>
      </c>
      <c r="C120" t="s">
        <v>243</v>
      </c>
      <c r="D120" t="s">
        <v>14</v>
      </c>
      <c r="E120" s="3">
        <v>12.516129032258178</v>
      </c>
      <c r="F120" s="3">
        <v>12.322580645161398</v>
      </c>
      <c r="G120" s="3">
        <v>11.846153846153822</v>
      </c>
    </row>
    <row r="121" spans="1:7" x14ac:dyDescent="0.25">
      <c r="A121" t="s">
        <v>227</v>
      </c>
      <c r="B121" t="s">
        <v>244</v>
      </c>
      <c r="C121" t="s">
        <v>245</v>
      </c>
      <c r="D121" t="s">
        <v>30</v>
      </c>
      <c r="E121" s="3">
        <v>24.290322580645064</v>
      </c>
      <c r="F121" s="3">
        <v>28.870967741935303</v>
      </c>
      <c r="G121" s="3">
        <v>29.07692307692303</v>
      </c>
    </row>
    <row r="122" spans="1:7" x14ac:dyDescent="0.25">
      <c r="A122" t="s">
        <v>227</v>
      </c>
      <c r="B122" t="s">
        <v>246</v>
      </c>
      <c r="C122" t="s">
        <v>247</v>
      </c>
      <c r="D122" t="s">
        <v>14</v>
      </c>
      <c r="E122" s="3">
        <v>10.935483870967813</v>
      </c>
      <c r="F122" s="3">
        <v>11.645161290322672</v>
      </c>
      <c r="G122" s="3">
        <v>10.538461538461519</v>
      </c>
    </row>
    <row r="123" spans="1:7" x14ac:dyDescent="0.25">
      <c r="A123" t="s">
        <v>227</v>
      </c>
      <c r="B123" t="s">
        <v>248</v>
      </c>
      <c r="C123" t="s">
        <v>249</v>
      </c>
      <c r="D123" t="s">
        <v>9</v>
      </c>
      <c r="E123" s="3">
        <v>4.5806451612903194</v>
      </c>
      <c r="F123" s="3">
        <v>3.9999999999999969</v>
      </c>
      <c r="G123" s="3">
        <v>3.0000000000000013</v>
      </c>
    </row>
    <row r="124" spans="1:7" x14ac:dyDescent="0.25">
      <c r="A124" t="s">
        <v>227</v>
      </c>
      <c r="B124" t="s">
        <v>250</v>
      </c>
      <c r="C124" t="s">
        <v>251</v>
      </c>
      <c r="D124" t="s">
        <v>9</v>
      </c>
      <c r="E124" s="3">
        <v>4.9354838709677384</v>
      </c>
      <c r="F124" s="3">
        <v>5.6774193548387055</v>
      </c>
      <c r="G124" s="3">
        <v>5.9999999999999964</v>
      </c>
    </row>
    <row r="125" spans="1:7" x14ac:dyDescent="0.25">
      <c r="A125" t="s">
        <v>227</v>
      </c>
      <c r="B125" t="s">
        <v>252</v>
      </c>
      <c r="C125" t="s">
        <v>253</v>
      </c>
      <c r="D125" t="s">
        <v>30</v>
      </c>
      <c r="E125" s="3">
        <v>17.903225806451761</v>
      </c>
      <c r="F125" s="3">
        <v>18.58064516129048</v>
      </c>
      <c r="G125" s="3">
        <v>15.769230769230731</v>
      </c>
    </row>
    <row r="126" spans="1:7" x14ac:dyDescent="0.25">
      <c r="A126" t="s">
        <v>227</v>
      </c>
      <c r="B126" t="s">
        <v>254</v>
      </c>
      <c r="C126" t="s">
        <v>255</v>
      </c>
      <c r="D126" t="s">
        <v>14</v>
      </c>
      <c r="E126" s="3">
        <v>5.0967741935483835</v>
      </c>
      <c r="F126" s="3">
        <v>4.9999999999999964</v>
      </c>
      <c r="G126" s="3">
        <v>5.2307692307692299</v>
      </c>
    </row>
    <row r="127" spans="1:7" x14ac:dyDescent="0.25">
      <c r="A127" t="s">
        <v>227</v>
      </c>
      <c r="B127" t="s">
        <v>256</v>
      </c>
      <c r="C127" t="s">
        <v>257</v>
      </c>
      <c r="D127" t="s">
        <v>14</v>
      </c>
      <c r="E127" s="3">
        <v>12.387096774193658</v>
      </c>
      <c r="F127" s="3">
        <v>13.225806451613035</v>
      </c>
      <c r="G127" s="3">
        <v>11.307692307692285</v>
      </c>
    </row>
    <row r="128" spans="1:7" x14ac:dyDescent="0.25">
      <c r="A128" t="s">
        <v>227</v>
      </c>
      <c r="B128" t="s">
        <v>258</v>
      </c>
      <c r="C128" t="s">
        <v>259</v>
      </c>
      <c r="D128" t="s">
        <v>30</v>
      </c>
      <c r="E128" s="3">
        <v>15.419354838709809</v>
      </c>
      <c r="F128" s="3">
        <v>13.612903225806512</v>
      </c>
      <c r="G128" s="3">
        <v>11.769230769230745</v>
      </c>
    </row>
    <row r="129" spans="1:7" x14ac:dyDescent="0.25">
      <c r="A129" t="s">
        <v>227</v>
      </c>
      <c r="B129" t="s">
        <v>260</v>
      </c>
      <c r="C129" t="s">
        <v>261</v>
      </c>
      <c r="D129" t="s">
        <v>14</v>
      </c>
      <c r="E129" s="3">
        <v>1.5483870967741924</v>
      </c>
      <c r="F129" s="3">
        <v>1.3225806451612894</v>
      </c>
      <c r="G129" s="3">
        <v>1.2307692307692304</v>
      </c>
    </row>
    <row r="130" spans="1:7" x14ac:dyDescent="0.25">
      <c r="A130" t="s">
        <v>227</v>
      </c>
      <c r="B130" t="s">
        <v>262</v>
      </c>
      <c r="C130" t="s">
        <v>263</v>
      </c>
      <c r="D130" t="s">
        <v>9</v>
      </c>
      <c r="E130" s="3">
        <v>10.903225806451683</v>
      </c>
      <c r="F130" s="3">
        <v>11.74193548387106</v>
      </c>
      <c r="G130" s="3">
        <v>11.846153846153822</v>
      </c>
    </row>
    <row r="131" spans="1:7" x14ac:dyDescent="0.25">
      <c r="A131" t="s">
        <v>227</v>
      </c>
      <c r="B131" t="s">
        <v>936</v>
      </c>
      <c r="C131" t="s">
        <v>937</v>
      </c>
      <c r="D131" t="s">
        <v>14</v>
      </c>
      <c r="E131" s="3">
        <v>0.22580645161290322</v>
      </c>
      <c r="F131" s="3"/>
      <c r="G131" s="3"/>
    </row>
    <row r="132" spans="1:7" x14ac:dyDescent="0.25">
      <c r="A132" t="s">
        <v>227</v>
      </c>
      <c r="B132" t="s">
        <v>264</v>
      </c>
      <c r="C132" t="s">
        <v>265</v>
      </c>
      <c r="D132" t="s">
        <v>30</v>
      </c>
      <c r="E132" s="3">
        <v>3.8387096774193519</v>
      </c>
      <c r="F132" s="3">
        <v>3.8064516129032229</v>
      </c>
      <c r="G132" s="3">
        <v>3.538461538461541</v>
      </c>
    </row>
    <row r="133" spans="1:7" x14ac:dyDescent="0.25">
      <c r="A133" t="s">
        <v>227</v>
      </c>
      <c r="B133" t="s">
        <v>266</v>
      </c>
      <c r="C133" t="s">
        <v>267</v>
      </c>
      <c r="D133" t="s">
        <v>9</v>
      </c>
      <c r="E133" s="3">
        <v>1.9354838709677404</v>
      </c>
      <c r="F133" s="3">
        <v>1.5483870967741924</v>
      </c>
      <c r="G133" s="3">
        <v>1.9230769230769222</v>
      </c>
    </row>
    <row r="134" spans="1:7" x14ac:dyDescent="0.25">
      <c r="A134" t="s">
        <v>227</v>
      </c>
      <c r="B134" t="s">
        <v>268</v>
      </c>
      <c r="C134" t="s">
        <v>269</v>
      </c>
      <c r="D134" t="s">
        <v>30</v>
      </c>
      <c r="E134" s="3">
        <v>5.9677419354838666</v>
      </c>
      <c r="F134" s="3">
        <v>5.4838709677419315</v>
      </c>
      <c r="G134" s="3">
        <v>6.307692307692303</v>
      </c>
    </row>
    <row r="135" spans="1:7" x14ac:dyDescent="0.25">
      <c r="A135" t="s">
        <v>227</v>
      </c>
      <c r="B135" t="s">
        <v>270</v>
      </c>
      <c r="C135" t="s">
        <v>271</v>
      </c>
      <c r="D135" t="s">
        <v>30</v>
      </c>
      <c r="E135" s="3">
        <v>8.6451612903225907</v>
      </c>
      <c r="F135" s="3">
        <v>1.1612903225806444</v>
      </c>
      <c r="G135" s="3">
        <v>0.38461538461538464</v>
      </c>
    </row>
    <row r="136" spans="1:7" x14ac:dyDescent="0.25">
      <c r="A136" t="s">
        <v>227</v>
      </c>
      <c r="B136" t="s">
        <v>272</v>
      </c>
      <c r="C136" t="s">
        <v>273</v>
      </c>
      <c r="D136" t="s">
        <v>30</v>
      </c>
      <c r="E136" s="3">
        <v>10.322580645161345</v>
      </c>
      <c r="F136" s="3">
        <v>7.2903225806451557</v>
      </c>
      <c r="G136" s="3">
        <v>6.1538461538461497</v>
      </c>
    </row>
    <row r="137" spans="1:7" x14ac:dyDescent="0.25">
      <c r="A137" t="s">
        <v>227</v>
      </c>
      <c r="B137" t="s">
        <v>274</v>
      </c>
      <c r="C137" t="s">
        <v>275</v>
      </c>
      <c r="D137" t="s">
        <v>9</v>
      </c>
      <c r="E137" s="3">
        <v>3.4193548387096748</v>
      </c>
      <c r="F137" s="3">
        <v>3.0322580645161268</v>
      </c>
      <c r="G137" s="3">
        <v>3.7692307692307723</v>
      </c>
    </row>
    <row r="138" spans="1:7" x14ac:dyDescent="0.25">
      <c r="A138" t="s">
        <v>227</v>
      </c>
      <c r="B138" t="s">
        <v>276</v>
      </c>
      <c r="C138" t="s">
        <v>277</v>
      </c>
      <c r="D138" t="s">
        <v>14</v>
      </c>
      <c r="E138" s="3">
        <v>3.1935483870967718</v>
      </c>
      <c r="F138" s="3">
        <v>1.9999999999999984</v>
      </c>
      <c r="G138" s="3">
        <v>1.9999999999999991</v>
      </c>
    </row>
    <row r="139" spans="1:7" x14ac:dyDescent="0.25">
      <c r="A139" t="s">
        <v>227</v>
      </c>
      <c r="B139" t="s">
        <v>278</v>
      </c>
      <c r="C139" t="s">
        <v>279</v>
      </c>
      <c r="D139" t="s">
        <v>9</v>
      </c>
      <c r="E139" s="3">
        <v>20.451612903225886</v>
      </c>
      <c r="F139" s="3">
        <v>16.193548387096953</v>
      </c>
      <c r="G139" s="3">
        <v>16.538461538461497</v>
      </c>
    </row>
    <row r="140" spans="1:7" x14ac:dyDescent="0.25">
      <c r="A140" t="s">
        <v>227</v>
      </c>
      <c r="B140" t="s">
        <v>280</v>
      </c>
      <c r="C140" t="s">
        <v>281</v>
      </c>
      <c r="D140" t="s">
        <v>9</v>
      </c>
      <c r="E140" s="3">
        <v>1.9677419354838694</v>
      </c>
      <c r="F140" s="3">
        <v>1.7741935483870954</v>
      </c>
      <c r="G140" s="3">
        <v>1.461538461538461</v>
      </c>
    </row>
    <row r="141" spans="1:7" x14ac:dyDescent="0.25">
      <c r="A141" t="s">
        <v>227</v>
      </c>
      <c r="B141" t="s">
        <v>282</v>
      </c>
      <c r="C141" t="s">
        <v>283</v>
      </c>
      <c r="D141" t="s">
        <v>14</v>
      </c>
      <c r="E141" s="3">
        <v>13.225806451613035</v>
      </c>
      <c r="F141" s="3">
        <v>13.419354838709815</v>
      </c>
      <c r="G141" s="3">
        <v>13.153846153846125</v>
      </c>
    </row>
    <row r="142" spans="1:7" x14ac:dyDescent="0.25">
      <c r="A142" t="s">
        <v>227</v>
      </c>
      <c r="B142" t="s">
        <v>284</v>
      </c>
      <c r="C142" t="s">
        <v>285</v>
      </c>
      <c r="D142" t="s">
        <v>14</v>
      </c>
      <c r="E142" s="3">
        <v>1.8387096774193534</v>
      </c>
      <c r="F142" s="3">
        <v>1.8709677419354824</v>
      </c>
      <c r="G142" s="3">
        <v>1.6923076923076916</v>
      </c>
    </row>
    <row r="143" spans="1:7" x14ac:dyDescent="0.25">
      <c r="A143" t="s">
        <v>227</v>
      </c>
      <c r="B143" t="s">
        <v>286</v>
      </c>
      <c r="C143" t="s">
        <v>224</v>
      </c>
      <c r="D143" t="s">
        <v>30</v>
      </c>
      <c r="E143" s="3">
        <v>2.0322580645161277</v>
      </c>
      <c r="F143" s="3">
        <v>4.7096774193548354</v>
      </c>
      <c r="G143" s="3">
        <v>1.461538461538461</v>
      </c>
    </row>
    <row r="144" spans="1:7" x14ac:dyDescent="0.25">
      <c r="A144" t="s">
        <v>227</v>
      </c>
      <c r="B144" t="s">
        <v>287</v>
      </c>
      <c r="C144" t="s">
        <v>288</v>
      </c>
      <c r="D144" t="s">
        <v>30</v>
      </c>
      <c r="E144" s="3">
        <v>1.0322580645161283</v>
      </c>
      <c r="F144" s="3">
        <v>1.5161290322580634</v>
      </c>
      <c r="G144" s="3">
        <v>0.92307692307692291</v>
      </c>
    </row>
    <row r="145" spans="1:7" x14ac:dyDescent="0.25">
      <c r="A145" t="s">
        <v>227</v>
      </c>
      <c r="B145" t="s">
        <v>289</v>
      </c>
      <c r="C145" t="s">
        <v>290</v>
      </c>
      <c r="D145" t="s">
        <v>9</v>
      </c>
      <c r="E145" s="3">
        <v>20.51612903225822</v>
      </c>
      <c r="F145" s="3">
        <v>21.032258064516242</v>
      </c>
      <c r="G145" s="3">
        <v>24.692307692307647</v>
      </c>
    </row>
    <row r="146" spans="1:7" x14ac:dyDescent="0.25">
      <c r="A146" t="s">
        <v>227</v>
      </c>
      <c r="B146" t="s">
        <v>291</v>
      </c>
      <c r="C146" t="s">
        <v>292</v>
      </c>
      <c r="D146" t="s">
        <v>14</v>
      </c>
      <c r="E146" s="3">
        <v>15.387096774193738</v>
      </c>
      <c r="F146" s="3">
        <v>15.161290322580756</v>
      </c>
      <c r="G146" s="3">
        <v>16.230769230769191</v>
      </c>
    </row>
    <row r="147" spans="1:7" x14ac:dyDescent="0.25">
      <c r="A147" t="s">
        <v>227</v>
      </c>
      <c r="B147" t="s">
        <v>293</v>
      </c>
      <c r="C147" t="s">
        <v>294</v>
      </c>
      <c r="D147" t="s">
        <v>9</v>
      </c>
      <c r="E147" s="3">
        <v>3.0645161290322558</v>
      </c>
      <c r="F147" s="3">
        <v>2.2580645161290307</v>
      </c>
      <c r="G147" s="3">
        <v>2.6153846153846159</v>
      </c>
    </row>
    <row r="148" spans="1:7" x14ac:dyDescent="0.25">
      <c r="A148" t="s">
        <v>227</v>
      </c>
      <c r="B148" t="s">
        <v>295</v>
      </c>
      <c r="C148" t="s">
        <v>296</v>
      </c>
      <c r="D148" t="s">
        <v>9</v>
      </c>
      <c r="E148" s="3">
        <v>6.1612903225806406</v>
      </c>
      <c r="F148" s="3">
        <v>6.4838709677419315</v>
      </c>
      <c r="G148" s="3">
        <v>6.6153846153846096</v>
      </c>
    </row>
    <row r="149" spans="1:7" x14ac:dyDescent="0.25">
      <c r="A149" t="s">
        <v>227</v>
      </c>
      <c r="B149" t="s">
        <v>297</v>
      </c>
      <c r="C149" t="s">
        <v>298</v>
      </c>
      <c r="D149" t="s">
        <v>9</v>
      </c>
      <c r="E149" s="3">
        <v>0.58064516129032229</v>
      </c>
      <c r="F149" s="3">
        <v>0.80645161290322531</v>
      </c>
      <c r="G149" s="3">
        <v>1.5384615384615379</v>
      </c>
    </row>
    <row r="150" spans="1:7" x14ac:dyDescent="0.25">
      <c r="A150" t="s">
        <v>227</v>
      </c>
      <c r="B150" t="s">
        <v>299</v>
      </c>
      <c r="C150" t="s">
        <v>300</v>
      </c>
      <c r="D150" t="s">
        <v>30</v>
      </c>
      <c r="E150" s="3">
        <v>1.5483870967741924</v>
      </c>
      <c r="F150" s="3">
        <v>1.4516129032258054</v>
      </c>
      <c r="G150" s="3">
        <v>1.9230769230769222</v>
      </c>
    </row>
    <row r="151" spans="1:7" x14ac:dyDescent="0.25">
      <c r="A151" t="s">
        <v>227</v>
      </c>
      <c r="B151" t="s">
        <v>301</v>
      </c>
      <c r="C151" t="s">
        <v>302</v>
      </c>
      <c r="D151" t="s">
        <v>14</v>
      </c>
      <c r="E151" s="3">
        <v>0.80645161290322531</v>
      </c>
      <c r="F151" s="3">
        <v>0.61290322580645129</v>
      </c>
      <c r="G151" s="3">
        <v>0.53846153846153855</v>
      </c>
    </row>
    <row r="152" spans="1:7" x14ac:dyDescent="0.25">
      <c r="A152" t="s">
        <v>227</v>
      </c>
      <c r="B152" t="s">
        <v>303</v>
      </c>
      <c r="C152" t="s">
        <v>304</v>
      </c>
      <c r="D152" t="s">
        <v>14</v>
      </c>
      <c r="E152" s="3">
        <v>8.0322580645161228</v>
      </c>
      <c r="F152" s="3">
        <v>8.419354838709685</v>
      </c>
      <c r="G152" s="3">
        <v>7.3846153846153761</v>
      </c>
    </row>
    <row r="153" spans="1:7" x14ac:dyDescent="0.25">
      <c r="A153" t="s">
        <v>227</v>
      </c>
      <c r="B153" t="s">
        <v>305</v>
      </c>
      <c r="C153" t="s">
        <v>306</v>
      </c>
      <c r="D153" t="s">
        <v>9</v>
      </c>
      <c r="E153" s="3">
        <v>21.548387096774242</v>
      </c>
      <c r="F153" s="3">
        <v>21.838709677419374</v>
      </c>
      <c r="G153" s="3">
        <v>20.84615384615379</v>
      </c>
    </row>
    <row r="154" spans="1:7" x14ac:dyDescent="0.25">
      <c r="A154" t="s">
        <v>227</v>
      </c>
      <c r="B154" t="s">
        <v>307</v>
      </c>
      <c r="C154" t="s">
        <v>308</v>
      </c>
      <c r="D154" t="s">
        <v>30</v>
      </c>
      <c r="E154" s="3">
        <v>0.32258064516129026</v>
      </c>
      <c r="F154" s="3">
        <v>0.93548387096774133</v>
      </c>
      <c r="G154" s="3">
        <v>0.92307692307692291</v>
      </c>
    </row>
    <row r="155" spans="1:7" x14ac:dyDescent="0.25">
      <c r="A155" t="s">
        <v>227</v>
      </c>
      <c r="B155" t="s">
        <v>309</v>
      </c>
      <c r="C155" t="s">
        <v>310</v>
      </c>
      <c r="D155" t="s">
        <v>14</v>
      </c>
      <c r="E155" s="3">
        <v>2.5483870967741917</v>
      </c>
      <c r="F155" s="3">
        <v>3.1290322580645138</v>
      </c>
      <c r="G155" s="3">
        <v>2.4615384615384617</v>
      </c>
    </row>
    <row r="156" spans="1:7" x14ac:dyDescent="0.25">
      <c r="A156" t="s">
        <v>227</v>
      </c>
      <c r="B156" t="s">
        <v>311</v>
      </c>
      <c r="C156" t="s">
        <v>312</v>
      </c>
      <c r="D156" t="s">
        <v>30</v>
      </c>
      <c r="E156" s="3">
        <v>3.0322580645161268</v>
      </c>
      <c r="F156" s="3">
        <v>4.6451612903225774</v>
      </c>
      <c r="G156" s="3">
        <v>4.4615384615384635</v>
      </c>
    </row>
    <row r="157" spans="1:7" x14ac:dyDescent="0.25">
      <c r="A157" t="s">
        <v>227</v>
      </c>
      <c r="B157" t="s">
        <v>313</v>
      </c>
      <c r="C157" t="s">
        <v>314</v>
      </c>
      <c r="D157" t="s">
        <v>30</v>
      </c>
      <c r="E157" s="3">
        <v>2.1935483870967727</v>
      </c>
      <c r="F157" s="3">
        <v>2.4516129032258047</v>
      </c>
      <c r="G157" s="3">
        <v>2.0769230769230762</v>
      </c>
    </row>
    <row r="158" spans="1:7" x14ac:dyDescent="0.25">
      <c r="A158" t="s">
        <v>227</v>
      </c>
      <c r="B158" t="s">
        <v>315</v>
      </c>
      <c r="C158" t="s">
        <v>316</v>
      </c>
      <c r="D158" t="s">
        <v>14</v>
      </c>
      <c r="E158" s="3">
        <v>2.6129032258064497</v>
      </c>
      <c r="F158" s="3">
        <v>2.6129032258064497</v>
      </c>
      <c r="G158" s="3">
        <v>3.0000000000000013</v>
      </c>
    </row>
    <row r="159" spans="1:7" x14ac:dyDescent="0.25">
      <c r="A159" t="s">
        <v>227</v>
      </c>
      <c r="B159" t="s">
        <v>317</v>
      </c>
      <c r="C159" t="s">
        <v>318</v>
      </c>
      <c r="D159" t="s">
        <v>9</v>
      </c>
      <c r="E159" s="3">
        <v>0.99999999999999933</v>
      </c>
      <c r="F159" s="3">
        <v>0.35483870967741926</v>
      </c>
      <c r="G159" s="3">
        <v>0.38461538461538464</v>
      </c>
    </row>
    <row r="160" spans="1:7" x14ac:dyDescent="0.25">
      <c r="A160" t="s">
        <v>227</v>
      </c>
      <c r="B160" t="s">
        <v>319</v>
      </c>
      <c r="C160" t="s">
        <v>320</v>
      </c>
      <c r="D160" t="s">
        <v>30</v>
      </c>
      <c r="E160" s="3">
        <v>3.0967741935483848</v>
      </c>
      <c r="F160" s="3">
        <v>2.4193548387096757</v>
      </c>
      <c r="G160" s="3">
        <v>1.9999999999999991</v>
      </c>
    </row>
    <row r="161" spans="1:7" x14ac:dyDescent="0.25">
      <c r="A161" t="s">
        <v>227</v>
      </c>
      <c r="B161" t="s">
        <v>321</v>
      </c>
      <c r="C161" t="s">
        <v>322</v>
      </c>
      <c r="D161" t="s">
        <v>30</v>
      </c>
      <c r="E161" s="3">
        <v>2.3870967741935467</v>
      </c>
      <c r="F161" s="3">
        <v>1.9999999999999984</v>
      </c>
      <c r="G161" s="3">
        <v>2.1538461538461533</v>
      </c>
    </row>
    <row r="162" spans="1:7" x14ac:dyDescent="0.25">
      <c r="A162" t="s">
        <v>227</v>
      </c>
      <c r="B162" t="s">
        <v>323</v>
      </c>
      <c r="C162" t="s">
        <v>324</v>
      </c>
      <c r="D162" t="s">
        <v>9</v>
      </c>
      <c r="E162" s="3">
        <v>0.90322580645161232</v>
      </c>
      <c r="F162" s="3">
        <v>0.96774193548387033</v>
      </c>
      <c r="G162" s="3">
        <v>1.461538461538461</v>
      </c>
    </row>
    <row r="163" spans="1:7" x14ac:dyDescent="0.25">
      <c r="A163" t="s">
        <v>227</v>
      </c>
      <c r="B163" t="s">
        <v>325</v>
      </c>
      <c r="C163" t="s">
        <v>326</v>
      </c>
      <c r="D163" t="s">
        <v>9</v>
      </c>
      <c r="E163" s="3">
        <v>9.2258064516129288</v>
      </c>
      <c r="F163" s="3">
        <v>10.225806451612955</v>
      </c>
      <c r="G163" s="3">
        <v>12.615384615384588</v>
      </c>
    </row>
    <row r="164" spans="1:7" x14ac:dyDescent="0.25">
      <c r="A164" t="s">
        <v>227</v>
      </c>
      <c r="B164" t="s">
        <v>327</v>
      </c>
      <c r="C164" t="s">
        <v>328</v>
      </c>
      <c r="D164" t="s">
        <v>30</v>
      </c>
      <c r="E164" s="3">
        <v>7.1290322580645107</v>
      </c>
      <c r="F164" s="3">
        <v>7.1935483870967687</v>
      </c>
      <c r="G164" s="3">
        <v>8.9230769230769091</v>
      </c>
    </row>
    <row r="165" spans="1:7" x14ac:dyDescent="0.25">
      <c r="A165" t="s">
        <v>227</v>
      </c>
      <c r="B165" t="s">
        <v>329</v>
      </c>
      <c r="C165" t="s">
        <v>330</v>
      </c>
      <c r="D165" t="s">
        <v>14</v>
      </c>
      <c r="E165" s="3">
        <v>7.0967741935483817</v>
      </c>
      <c r="F165" s="3">
        <v>6.7096774193548336</v>
      </c>
      <c r="G165" s="3">
        <v>7.846153846153836</v>
      </c>
    </row>
    <row r="166" spans="1:7" x14ac:dyDescent="0.25">
      <c r="A166" t="s">
        <v>227</v>
      </c>
      <c r="B166" t="s">
        <v>331</v>
      </c>
      <c r="C166" t="s">
        <v>332</v>
      </c>
      <c r="D166" t="s">
        <v>30</v>
      </c>
      <c r="E166" s="3">
        <v>0.38709677419354827</v>
      </c>
      <c r="F166" s="3">
        <v>1.1290322580645153</v>
      </c>
      <c r="G166" s="3">
        <v>0.61538461538461542</v>
      </c>
    </row>
    <row r="167" spans="1:7" x14ac:dyDescent="0.25">
      <c r="A167" t="s">
        <v>227</v>
      </c>
      <c r="B167" t="s">
        <v>333</v>
      </c>
      <c r="C167" t="s">
        <v>334</v>
      </c>
      <c r="D167" t="s">
        <v>30</v>
      </c>
      <c r="E167" s="3">
        <v>22.064516129032292</v>
      </c>
      <c r="F167" s="3">
        <v>21.290322580645221</v>
      </c>
      <c r="G167" s="3">
        <v>15.076923076923041</v>
      </c>
    </row>
    <row r="168" spans="1:7" x14ac:dyDescent="0.25">
      <c r="A168" t="s">
        <v>227</v>
      </c>
      <c r="B168" t="s">
        <v>335</v>
      </c>
      <c r="C168" t="s">
        <v>336</v>
      </c>
      <c r="D168" t="s">
        <v>9</v>
      </c>
      <c r="E168" s="3">
        <v>4.6129032258064484</v>
      </c>
      <c r="F168" s="3">
        <v>5.6129032258064475</v>
      </c>
      <c r="G168" s="3">
        <v>4.6153846153846168</v>
      </c>
    </row>
    <row r="169" spans="1:7" x14ac:dyDescent="0.25">
      <c r="A169" t="s">
        <v>227</v>
      </c>
      <c r="B169" t="s">
        <v>337</v>
      </c>
      <c r="C169" t="s">
        <v>338</v>
      </c>
      <c r="D169" t="s">
        <v>14</v>
      </c>
      <c r="E169" s="3">
        <v>9.2258064516129288</v>
      </c>
      <c r="F169" s="3">
        <v>9.6129032258064875</v>
      </c>
      <c r="G169" s="3">
        <v>7.3076923076922995</v>
      </c>
    </row>
    <row r="170" spans="1:7" x14ac:dyDescent="0.25">
      <c r="A170" t="s">
        <v>227</v>
      </c>
      <c r="B170" t="s">
        <v>339</v>
      </c>
      <c r="C170" t="s">
        <v>340</v>
      </c>
      <c r="D170" t="s">
        <v>30</v>
      </c>
      <c r="E170" s="3">
        <v>14.516129032258231</v>
      </c>
      <c r="F170" s="3">
        <v>11.000000000000076</v>
      </c>
      <c r="G170" s="3">
        <v>9.8461538461538289</v>
      </c>
    </row>
    <row r="171" spans="1:7" x14ac:dyDescent="0.25">
      <c r="A171" t="s">
        <v>227</v>
      </c>
      <c r="B171" t="s">
        <v>341</v>
      </c>
      <c r="C171" t="s">
        <v>342</v>
      </c>
      <c r="D171" t="s">
        <v>14</v>
      </c>
      <c r="E171" s="3">
        <v>17.709677419354939</v>
      </c>
      <c r="F171" s="3">
        <v>17.645161290322665</v>
      </c>
      <c r="G171" s="3">
        <v>16.538461538461497</v>
      </c>
    </row>
    <row r="172" spans="1:7" x14ac:dyDescent="0.25">
      <c r="A172" t="s">
        <v>227</v>
      </c>
      <c r="B172" t="s">
        <v>343</v>
      </c>
      <c r="C172" t="s">
        <v>344</v>
      </c>
      <c r="D172" t="s">
        <v>30</v>
      </c>
      <c r="E172" s="3">
        <v>2.1290322580645147</v>
      </c>
      <c r="F172" s="3">
        <v>3.2258064516129008</v>
      </c>
      <c r="G172" s="3">
        <v>2.5384615384615388</v>
      </c>
    </row>
    <row r="173" spans="1:7" x14ac:dyDescent="0.25">
      <c r="A173" t="s">
        <v>227</v>
      </c>
      <c r="B173" t="s">
        <v>345</v>
      </c>
      <c r="C173" t="s">
        <v>346</v>
      </c>
      <c r="D173" t="s">
        <v>9</v>
      </c>
      <c r="E173" s="3">
        <v>1.2903225806451604</v>
      </c>
      <c r="F173" s="3">
        <v>1.8709677419354824</v>
      </c>
      <c r="G173" s="3">
        <v>1.3076923076923073</v>
      </c>
    </row>
    <row r="174" spans="1:7" x14ac:dyDescent="0.25">
      <c r="A174" t="s">
        <v>227</v>
      </c>
      <c r="B174" t="s">
        <v>347</v>
      </c>
      <c r="C174" t="s">
        <v>348</v>
      </c>
      <c r="D174" t="s">
        <v>30</v>
      </c>
      <c r="E174" s="3">
        <v>3.7419354838709649</v>
      </c>
      <c r="F174" s="3">
        <v>2.5806451612903207</v>
      </c>
      <c r="G174" s="3">
        <v>4.7692307692307701</v>
      </c>
    </row>
    <row r="175" spans="1:7" x14ac:dyDescent="0.25">
      <c r="A175" t="s">
        <v>227</v>
      </c>
      <c r="B175" t="s">
        <v>349</v>
      </c>
      <c r="C175" t="s">
        <v>350</v>
      </c>
      <c r="D175" t="s">
        <v>30</v>
      </c>
      <c r="E175" s="3">
        <v>5.1612903225806415</v>
      </c>
      <c r="F175" s="3">
        <v>5.2903225806451575</v>
      </c>
      <c r="G175" s="3">
        <v>5.8461538461538431</v>
      </c>
    </row>
    <row r="176" spans="1:7" x14ac:dyDescent="0.25">
      <c r="A176" t="s">
        <v>227</v>
      </c>
      <c r="B176" t="s">
        <v>351</v>
      </c>
      <c r="C176" t="s">
        <v>352</v>
      </c>
      <c r="D176" t="s">
        <v>9</v>
      </c>
      <c r="E176" s="3">
        <v>0.35483870967741926</v>
      </c>
      <c r="F176" s="3">
        <v>0.64516129032258029</v>
      </c>
      <c r="G176" s="3">
        <v>0.69230769230769229</v>
      </c>
    </row>
    <row r="177" spans="1:7" x14ac:dyDescent="0.25">
      <c r="A177" t="s">
        <v>227</v>
      </c>
      <c r="B177" t="s">
        <v>353</v>
      </c>
      <c r="C177" t="s">
        <v>354</v>
      </c>
      <c r="D177" t="s">
        <v>14</v>
      </c>
      <c r="E177" s="3"/>
      <c r="F177" s="3">
        <v>1.0322580645161283</v>
      </c>
      <c r="G177" s="3">
        <v>0.38461538461538464</v>
      </c>
    </row>
    <row r="178" spans="1:7" x14ac:dyDescent="0.25">
      <c r="A178" t="s">
        <v>355</v>
      </c>
      <c r="B178" t="s">
        <v>356</v>
      </c>
      <c r="C178" t="s">
        <v>357</v>
      </c>
      <c r="D178" t="s">
        <v>14</v>
      </c>
      <c r="E178" s="3">
        <v>1.0967741935483863</v>
      </c>
      <c r="F178" s="3">
        <v>0.61290322580645129</v>
      </c>
      <c r="G178" s="3">
        <v>0.53846153846153855</v>
      </c>
    </row>
    <row r="179" spans="1:7" x14ac:dyDescent="0.25">
      <c r="A179" t="s">
        <v>355</v>
      </c>
      <c r="B179" t="s">
        <v>358</v>
      </c>
      <c r="C179" t="s">
        <v>359</v>
      </c>
      <c r="D179" t="s">
        <v>14</v>
      </c>
      <c r="E179" s="3">
        <v>1.8387096774193534</v>
      </c>
      <c r="F179" s="3">
        <v>1.6129032258064504</v>
      </c>
      <c r="G179" s="3">
        <v>1.9999999999999991</v>
      </c>
    </row>
    <row r="180" spans="1:7" x14ac:dyDescent="0.25">
      <c r="A180" t="s">
        <v>355</v>
      </c>
      <c r="B180" t="s">
        <v>360</v>
      </c>
      <c r="C180" t="s">
        <v>361</v>
      </c>
      <c r="D180" t="s">
        <v>14</v>
      </c>
      <c r="E180" s="3">
        <v>10.774193548387164</v>
      </c>
      <c r="F180" s="3">
        <v>12.516129032258178</v>
      </c>
      <c r="G180" s="3">
        <v>14.076923076923045</v>
      </c>
    </row>
    <row r="181" spans="1:7" x14ac:dyDescent="0.25">
      <c r="A181" t="s">
        <v>355</v>
      </c>
      <c r="B181" t="s">
        <v>362</v>
      </c>
      <c r="C181" t="s">
        <v>363</v>
      </c>
      <c r="D181" t="s">
        <v>30</v>
      </c>
      <c r="E181" s="3">
        <v>5.9999999999999956</v>
      </c>
      <c r="F181" s="3">
        <v>5.6774193548387055</v>
      </c>
      <c r="G181" s="3">
        <v>5.7692307692307665</v>
      </c>
    </row>
    <row r="182" spans="1:7" x14ac:dyDescent="0.25">
      <c r="A182" t="s">
        <v>355</v>
      </c>
      <c r="B182" t="s">
        <v>364</v>
      </c>
      <c r="C182" t="s">
        <v>365</v>
      </c>
      <c r="D182" t="s">
        <v>14</v>
      </c>
      <c r="E182" s="3">
        <v>5.4516129032258025</v>
      </c>
      <c r="F182" s="3">
        <v>5.0967741935483835</v>
      </c>
      <c r="G182" s="3">
        <v>3.7692307692307723</v>
      </c>
    </row>
    <row r="183" spans="1:7" x14ac:dyDescent="0.25">
      <c r="A183" t="s">
        <v>355</v>
      </c>
      <c r="B183" t="s">
        <v>366</v>
      </c>
      <c r="C183" t="s">
        <v>367</v>
      </c>
      <c r="D183" t="s">
        <v>14</v>
      </c>
      <c r="E183" s="3">
        <v>7.5806451612903167</v>
      </c>
      <c r="F183" s="3">
        <v>9.451612903225838</v>
      </c>
      <c r="G183" s="3">
        <v>5.7692307692307665</v>
      </c>
    </row>
    <row r="184" spans="1:7" x14ac:dyDescent="0.25">
      <c r="A184" t="s">
        <v>355</v>
      </c>
      <c r="B184" t="s">
        <v>368</v>
      </c>
      <c r="C184" t="s">
        <v>369</v>
      </c>
      <c r="D184" t="s">
        <v>30</v>
      </c>
      <c r="E184" s="3">
        <v>2.6129032258064497</v>
      </c>
      <c r="F184" s="3">
        <v>2.0645161290322567</v>
      </c>
      <c r="G184" s="3">
        <v>2.5384615384615388</v>
      </c>
    </row>
    <row r="185" spans="1:7" x14ac:dyDescent="0.25">
      <c r="A185" t="s">
        <v>355</v>
      </c>
      <c r="B185" t="s">
        <v>370</v>
      </c>
      <c r="C185" t="s">
        <v>371</v>
      </c>
      <c r="D185" t="s">
        <v>30</v>
      </c>
      <c r="E185" s="3">
        <v>8.8387096774193701</v>
      </c>
      <c r="F185" s="3">
        <v>7.3870967741935427</v>
      </c>
      <c r="G185" s="3">
        <v>8.6923076923076792</v>
      </c>
    </row>
    <row r="186" spans="1:7" x14ac:dyDescent="0.25">
      <c r="A186" t="s">
        <v>355</v>
      </c>
      <c r="B186" t="s">
        <v>372</v>
      </c>
      <c r="C186" t="s">
        <v>373</v>
      </c>
      <c r="D186" t="s">
        <v>30</v>
      </c>
      <c r="E186" s="3">
        <v>1.3548387096774184</v>
      </c>
      <c r="F186" s="3">
        <v>1.2258064516129024</v>
      </c>
      <c r="G186" s="3">
        <v>1.6153846153846148</v>
      </c>
    </row>
    <row r="187" spans="1:7" x14ac:dyDescent="0.25">
      <c r="A187" t="s">
        <v>355</v>
      </c>
      <c r="B187" t="s">
        <v>374</v>
      </c>
      <c r="C187" t="s">
        <v>375</v>
      </c>
      <c r="D187" t="s">
        <v>30</v>
      </c>
      <c r="E187" s="3">
        <v>7.7419354838709618</v>
      </c>
      <c r="F187" s="3">
        <v>8.0322580645161228</v>
      </c>
      <c r="G187" s="3">
        <v>7.1538461538461462</v>
      </c>
    </row>
    <row r="188" spans="1:7" x14ac:dyDescent="0.25">
      <c r="A188" t="s">
        <v>355</v>
      </c>
      <c r="B188" t="s">
        <v>376</v>
      </c>
      <c r="C188" t="s">
        <v>377</v>
      </c>
      <c r="D188" t="s">
        <v>9</v>
      </c>
      <c r="E188" s="3">
        <v>20.193548387096868</v>
      </c>
      <c r="F188" s="3">
        <v>21.645161290322513</v>
      </c>
      <c r="G188" s="3">
        <v>16.153846153846128</v>
      </c>
    </row>
    <row r="189" spans="1:7" x14ac:dyDescent="0.25">
      <c r="A189" t="s">
        <v>355</v>
      </c>
      <c r="B189" t="s">
        <v>378</v>
      </c>
      <c r="C189" t="s">
        <v>379</v>
      </c>
      <c r="D189" t="s">
        <v>14</v>
      </c>
      <c r="E189" s="3">
        <v>60.45161290322541</v>
      </c>
      <c r="F189" s="3">
        <v>56.903225806451402</v>
      </c>
      <c r="G189" s="3">
        <v>47.230769230769262</v>
      </c>
    </row>
    <row r="190" spans="1:7" x14ac:dyDescent="0.25">
      <c r="A190" t="s">
        <v>355</v>
      </c>
      <c r="B190" t="s">
        <v>380</v>
      </c>
      <c r="C190" t="s">
        <v>381</v>
      </c>
      <c r="D190" t="s">
        <v>30</v>
      </c>
      <c r="E190" s="3">
        <v>1.0645161290322573</v>
      </c>
      <c r="F190" s="3">
        <v>1.5161290322580634</v>
      </c>
      <c r="G190" s="3">
        <v>1.3076923076923073</v>
      </c>
    </row>
    <row r="191" spans="1:7" x14ac:dyDescent="0.25">
      <c r="A191" t="s">
        <v>355</v>
      </c>
      <c r="B191" t="s">
        <v>382</v>
      </c>
      <c r="C191" t="s">
        <v>383</v>
      </c>
      <c r="D191" t="s">
        <v>30</v>
      </c>
      <c r="E191" s="3">
        <v>3.9677419354838679</v>
      </c>
      <c r="F191" s="3">
        <v>4.2580645161290294</v>
      </c>
      <c r="G191" s="3">
        <v>5.0769230769230766</v>
      </c>
    </row>
    <row r="192" spans="1:7" x14ac:dyDescent="0.25">
      <c r="A192" t="s">
        <v>355</v>
      </c>
      <c r="B192" t="s">
        <v>384</v>
      </c>
      <c r="C192" t="s">
        <v>385</v>
      </c>
      <c r="D192" t="s">
        <v>14</v>
      </c>
      <c r="E192" s="3">
        <v>9.6774193548387473</v>
      </c>
      <c r="F192" s="3">
        <v>11.193548387096852</v>
      </c>
      <c r="G192" s="3">
        <v>11.538461538461515</v>
      </c>
    </row>
    <row r="193" spans="1:7" x14ac:dyDescent="0.25">
      <c r="A193" t="s">
        <v>355</v>
      </c>
      <c r="B193" t="s">
        <v>386</v>
      </c>
      <c r="C193" t="s">
        <v>387</v>
      </c>
      <c r="D193" t="s">
        <v>14</v>
      </c>
      <c r="E193" s="3">
        <v>6.9354838709677367</v>
      </c>
      <c r="F193" s="3">
        <v>8.5161290322580712</v>
      </c>
      <c r="G193" s="3">
        <v>7.6153846153846061</v>
      </c>
    </row>
    <row r="194" spans="1:7" x14ac:dyDescent="0.25">
      <c r="A194" t="s">
        <v>355</v>
      </c>
      <c r="B194" t="s">
        <v>388</v>
      </c>
      <c r="C194" t="s">
        <v>389</v>
      </c>
      <c r="D194" t="s">
        <v>14</v>
      </c>
      <c r="E194" s="3">
        <v>2.2258064516129017</v>
      </c>
      <c r="F194" s="3">
        <v>2.5483870967741917</v>
      </c>
      <c r="G194" s="3">
        <v>2.2307692307692304</v>
      </c>
    </row>
    <row r="195" spans="1:7" x14ac:dyDescent="0.25">
      <c r="A195" t="s">
        <v>355</v>
      </c>
      <c r="B195" t="s">
        <v>390</v>
      </c>
      <c r="C195" t="s">
        <v>391</v>
      </c>
      <c r="D195" t="s">
        <v>30</v>
      </c>
      <c r="E195" s="3">
        <v>3.4838709677419328</v>
      </c>
      <c r="F195" s="3">
        <v>3.7741935483870939</v>
      </c>
      <c r="G195" s="3">
        <v>3.4615384615384639</v>
      </c>
    </row>
    <row r="196" spans="1:7" x14ac:dyDescent="0.25">
      <c r="A196" t="s">
        <v>355</v>
      </c>
      <c r="B196" t="s">
        <v>392</v>
      </c>
      <c r="C196" t="s">
        <v>393</v>
      </c>
      <c r="D196" t="s">
        <v>30</v>
      </c>
      <c r="E196" s="3">
        <v>12.032258064516149</v>
      </c>
      <c r="F196" s="3">
        <v>12.516129032258146</v>
      </c>
      <c r="G196" s="3">
        <v>11.153846153846132</v>
      </c>
    </row>
    <row r="197" spans="1:7" x14ac:dyDescent="0.25">
      <c r="A197" t="s">
        <v>355</v>
      </c>
      <c r="B197" t="s">
        <v>394</v>
      </c>
      <c r="C197" t="s">
        <v>379</v>
      </c>
      <c r="D197" t="s">
        <v>30</v>
      </c>
      <c r="E197" s="3">
        <v>3.7419354838709649</v>
      </c>
      <c r="F197" s="3">
        <v>3.6129032258064488</v>
      </c>
      <c r="G197" s="3">
        <v>5</v>
      </c>
    </row>
    <row r="198" spans="1:7" x14ac:dyDescent="0.25">
      <c r="A198" t="s">
        <v>355</v>
      </c>
      <c r="B198" t="s">
        <v>395</v>
      </c>
      <c r="C198" t="s">
        <v>396</v>
      </c>
      <c r="D198" t="s">
        <v>14</v>
      </c>
      <c r="E198" s="3">
        <v>1.9677419354838694</v>
      </c>
      <c r="F198" s="3">
        <v>2.1612903225806437</v>
      </c>
      <c r="G198" s="3">
        <v>1.9230769230769222</v>
      </c>
    </row>
    <row r="199" spans="1:7" x14ac:dyDescent="0.25">
      <c r="A199" t="s">
        <v>355</v>
      </c>
      <c r="B199" t="s">
        <v>397</v>
      </c>
      <c r="C199" t="s">
        <v>398</v>
      </c>
      <c r="D199" t="s">
        <v>9</v>
      </c>
      <c r="E199" s="3">
        <v>2.7419354838709658</v>
      </c>
      <c r="F199" s="3">
        <v>2.4838709677419337</v>
      </c>
      <c r="G199" s="3">
        <v>1.0769230769230766</v>
      </c>
    </row>
    <row r="200" spans="1:7" x14ac:dyDescent="0.25">
      <c r="A200" t="s">
        <v>355</v>
      </c>
      <c r="B200" t="s">
        <v>399</v>
      </c>
      <c r="C200" t="s">
        <v>400</v>
      </c>
      <c r="D200" t="s">
        <v>14</v>
      </c>
      <c r="E200" s="3">
        <v>9.5806451612903576</v>
      </c>
      <c r="F200" s="3">
        <v>9.0645161290322793</v>
      </c>
      <c r="G200" s="3">
        <v>10.692307692307672</v>
      </c>
    </row>
    <row r="201" spans="1:7" x14ac:dyDescent="0.25">
      <c r="A201" t="s">
        <v>355</v>
      </c>
      <c r="B201" t="s">
        <v>401</v>
      </c>
      <c r="C201" t="s">
        <v>402</v>
      </c>
      <c r="D201" t="s">
        <v>9</v>
      </c>
      <c r="E201" s="3">
        <v>33.516129032257773</v>
      </c>
      <c r="F201" s="3">
        <v>34.48387096774168</v>
      </c>
      <c r="G201" s="3">
        <v>33.153846153846104</v>
      </c>
    </row>
    <row r="202" spans="1:7" x14ac:dyDescent="0.25">
      <c r="A202" t="s">
        <v>355</v>
      </c>
      <c r="B202" t="s">
        <v>403</v>
      </c>
      <c r="C202" t="s">
        <v>404</v>
      </c>
      <c r="D202" t="s">
        <v>9</v>
      </c>
      <c r="E202" s="3">
        <v>33.516129032257773</v>
      </c>
      <c r="F202" s="3">
        <v>36.516129032257624</v>
      </c>
      <c r="G202" s="3">
        <v>37.384615384615515</v>
      </c>
    </row>
    <row r="203" spans="1:7" x14ac:dyDescent="0.25">
      <c r="A203" t="s">
        <v>355</v>
      </c>
      <c r="B203" t="s">
        <v>405</v>
      </c>
      <c r="C203" t="s">
        <v>406</v>
      </c>
      <c r="D203" t="s">
        <v>30</v>
      </c>
      <c r="E203" s="3">
        <v>1.7096774193548374</v>
      </c>
      <c r="F203" s="3">
        <v>0.16129032258064516</v>
      </c>
      <c r="G203" s="3">
        <v>7.6923076923076927E-2</v>
      </c>
    </row>
    <row r="204" spans="1:7" x14ac:dyDescent="0.25">
      <c r="A204" t="s">
        <v>355</v>
      </c>
      <c r="B204" t="s">
        <v>407</v>
      </c>
      <c r="C204" t="s">
        <v>408</v>
      </c>
      <c r="D204" t="s">
        <v>9</v>
      </c>
      <c r="E204" s="3">
        <v>15.161290322580768</v>
      </c>
      <c r="F204" s="3">
        <v>23.451612903225733</v>
      </c>
      <c r="G204" s="3">
        <v>22.153846153846093</v>
      </c>
    </row>
    <row r="205" spans="1:7" x14ac:dyDescent="0.25">
      <c r="A205" t="s">
        <v>355</v>
      </c>
      <c r="B205" t="s">
        <v>409</v>
      </c>
      <c r="C205" t="s">
        <v>410</v>
      </c>
      <c r="D205" t="s">
        <v>9</v>
      </c>
      <c r="E205" s="3">
        <v>0.77419354838709631</v>
      </c>
      <c r="F205" s="3">
        <v>0.7096774193548383</v>
      </c>
      <c r="G205" s="3">
        <v>0.76923076923076916</v>
      </c>
    </row>
    <row r="206" spans="1:7" x14ac:dyDescent="0.25">
      <c r="A206" t="s">
        <v>355</v>
      </c>
      <c r="B206" t="s">
        <v>411</v>
      </c>
      <c r="C206" t="s">
        <v>412</v>
      </c>
      <c r="D206" t="s">
        <v>30</v>
      </c>
      <c r="E206" s="3">
        <v>13.161290322580776</v>
      </c>
      <c r="F206" s="3">
        <v>14.774193548387272</v>
      </c>
      <c r="G206" s="3">
        <v>14.230769230769198</v>
      </c>
    </row>
    <row r="207" spans="1:7" x14ac:dyDescent="0.25">
      <c r="A207" t="s">
        <v>355</v>
      </c>
      <c r="B207" t="s">
        <v>413</v>
      </c>
      <c r="C207" t="s">
        <v>414</v>
      </c>
      <c r="D207" t="s">
        <v>14</v>
      </c>
      <c r="E207" s="3">
        <v>0.74193548387096731</v>
      </c>
      <c r="F207" s="3">
        <v>0.96774193548387033</v>
      </c>
      <c r="G207" s="3">
        <v>1.1538461538461535</v>
      </c>
    </row>
    <row r="208" spans="1:7" x14ac:dyDescent="0.25">
      <c r="A208" t="s">
        <v>355</v>
      </c>
      <c r="B208" t="s">
        <v>415</v>
      </c>
      <c r="C208" t="s">
        <v>416</v>
      </c>
      <c r="D208" t="s">
        <v>30</v>
      </c>
      <c r="E208" s="3">
        <v>2.0967741935483857</v>
      </c>
      <c r="F208" s="3">
        <v>1.7096774193548374</v>
      </c>
      <c r="G208" s="3">
        <v>1.6923076923076916</v>
      </c>
    </row>
    <row r="209" spans="1:7" x14ac:dyDescent="0.25">
      <c r="A209" t="s">
        <v>355</v>
      </c>
      <c r="B209" t="s">
        <v>417</v>
      </c>
      <c r="C209" t="s">
        <v>418</v>
      </c>
      <c r="D209" t="s">
        <v>30</v>
      </c>
      <c r="E209" s="3">
        <v>1.7741935483870954</v>
      </c>
      <c r="F209" s="3">
        <v>2.2580645161290307</v>
      </c>
      <c r="G209" s="3">
        <v>2.0769230769230762</v>
      </c>
    </row>
    <row r="210" spans="1:7" x14ac:dyDescent="0.25">
      <c r="A210" t="s">
        <v>355</v>
      </c>
      <c r="B210" t="s">
        <v>419</v>
      </c>
      <c r="C210" t="s">
        <v>420</v>
      </c>
      <c r="D210" t="s">
        <v>30</v>
      </c>
      <c r="E210" s="3">
        <v>24.838709677419399</v>
      </c>
      <c r="F210" s="3">
        <v>20.129032258064605</v>
      </c>
      <c r="G210" s="3">
        <v>19.846153846153793</v>
      </c>
    </row>
    <row r="211" spans="1:7" x14ac:dyDescent="0.25">
      <c r="A211" t="s">
        <v>355</v>
      </c>
      <c r="B211" t="s">
        <v>421</v>
      </c>
      <c r="C211" t="s">
        <v>422</v>
      </c>
      <c r="D211" t="s">
        <v>9</v>
      </c>
      <c r="E211" s="3">
        <v>61.77419354838613</v>
      </c>
      <c r="F211" s="3">
        <v>60.032258064515347</v>
      </c>
      <c r="G211" s="3">
        <v>58.307692307693301</v>
      </c>
    </row>
    <row r="212" spans="1:7" x14ac:dyDescent="0.25">
      <c r="A212" t="s">
        <v>355</v>
      </c>
      <c r="B212" t="s">
        <v>423</v>
      </c>
      <c r="C212" t="s">
        <v>424</v>
      </c>
      <c r="D212" t="s">
        <v>30</v>
      </c>
      <c r="E212" s="3">
        <v>5.6129032258064475</v>
      </c>
      <c r="F212" s="3">
        <v>6.3870967741935436</v>
      </c>
      <c r="G212" s="3">
        <v>5.9230769230769198</v>
      </c>
    </row>
    <row r="213" spans="1:7" x14ac:dyDescent="0.25">
      <c r="A213" t="s">
        <v>355</v>
      </c>
      <c r="B213" t="s">
        <v>425</v>
      </c>
      <c r="C213" t="s">
        <v>426</v>
      </c>
      <c r="D213" t="s">
        <v>9</v>
      </c>
      <c r="E213" s="3">
        <v>9.1935483870967989</v>
      </c>
      <c r="F213" s="3">
        <v>8.9677419354838896</v>
      </c>
      <c r="G213" s="3">
        <v>9.9230769230769056</v>
      </c>
    </row>
    <row r="214" spans="1:7" x14ac:dyDescent="0.25">
      <c r="A214" t="s">
        <v>355</v>
      </c>
      <c r="B214" t="s">
        <v>427</v>
      </c>
      <c r="C214" t="s">
        <v>428</v>
      </c>
      <c r="D214" t="s">
        <v>30</v>
      </c>
      <c r="E214" s="3">
        <v>16.09677419354859</v>
      </c>
      <c r="F214" s="3">
        <v>18.612903225806583</v>
      </c>
      <c r="G214" s="3">
        <v>15.846153846153808</v>
      </c>
    </row>
    <row r="215" spans="1:7" x14ac:dyDescent="0.25">
      <c r="A215" t="s">
        <v>355</v>
      </c>
      <c r="B215" t="s">
        <v>429</v>
      </c>
      <c r="C215" t="s">
        <v>430</v>
      </c>
      <c r="D215" t="s">
        <v>9</v>
      </c>
      <c r="E215" s="3">
        <v>10.451612903225804</v>
      </c>
      <c r="F215" s="3">
        <v>14.387096774193594</v>
      </c>
      <c r="G215" s="3">
        <v>9.384615384615369</v>
      </c>
    </row>
    <row r="216" spans="1:7" x14ac:dyDescent="0.25">
      <c r="A216" t="s">
        <v>355</v>
      </c>
      <c r="B216" t="s">
        <v>431</v>
      </c>
      <c r="C216" t="s">
        <v>432</v>
      </c>
      <c r="D216" t="s">
        <v>9</v>
      </c>
      <c r="E216" s="3">
        <v>9.6774193548387473</v>
      </c>
      <c r="F216" s="3">
        <v>9.7419354838710071</v>
      </c>
      <c r="G216" s="3">
        <v>8.8461538461538325</v>
      </c>
    </row>
    <row r="217" spans="1:7" x14ac:dyDescent="0.25">
      <c r="A217" t="s">
        <v>355</v>
      </c>
      <c r="B217" t="s">
        <v>433</v>
      </c>
      <c r="C217" t="s">
        <v>434</v>
      </c>
      <c r="D217" t="s">
        <v>30</v>
      </c>
      <c r="E217" s="3">
        <v>5.7741935483870925</v>
      </c>
      <c r="F217" s="3">
        <v>6.1935483870967696</v>
      </c>
      <c r="G217" s="3">
        <v>5.5384615384615365</v>
      </c>
    </row>
    <row r="218" spans="1:7" x14ac:dyDescent="0.25">
      <c r="A218" t="s">
        <v>355</v>
      </c>
      <c r="B218" t="s">
        <v>435</v>
      </c>
      <c r="C218" t="s">
        <v>436</v>
      </c>
      <c r="D218" t="s">
        <v>9</v>
      </c>
      <c r="E218" s="3">
        <v>11.483870967741932</v>
      </c>
      <c r="F218" s="3">
        <v>12.290322580645235</v>
      </c>
      <c r="G218" s="3">
        <v>11.230769230769209</v>
      </c>
    </row>
    <row r="219" spans="1:7" x14ac:dyDescent="0.25">
      <c r="A219" t="s">
        <v>355</v>
      </c>
      <c r="B219" t="s">
        <v>437</v>
      </c>
      <c r="C219" t="s">
        <v>438</v>
      </c>
      <c r="D219" t="s">
        <v>9</v>
      </c>
      <c r="E219" s="3">
        <v>0.48387096774193528</v>
      </c>
      <c r="F219" s="3">
        <v>0.16129032258064516</v>
      </c>
      <c r="G219" s="3"/>
    </row>
    <row r="220" spans="1:7" x14ac:dyDescent="0.25">
      <c r="A220" t="s">
        <v>355</v>
      </c>
      <c r="B220" t="s">
        <v>439</v>
      </c>
      <c r="C220" t="s">
        <v>440</v>
      </c>
      <c r="D220" t="s">
        <v>9</v>
      </c>
      <c r="E220" s="3">
        <v>4.2258064516129004</v>
      </c>
      <c r="F220" s="3">
        <v>4.0967741935483843</v>
      </c>
      <c r="G220" s="3">
        <v>3.3076923076923097</v>
      </c>
    </row>
    <row r="221" spans="1:7" x14ac:dyDescent="0.25">
      <c r="A221" t="s">
        <v>355</v>
      </c>
      <c r="B221" t="s">
        <v>441</v>
      </c>
      <c r="C221" t="s">
        <v>442</v>
      </c>
      <c r="D221" t="s">
        <v>9</v>
      </c>
      <c r="E221" s="3">
        <v>11.645161290322671</v>
      </c>
      <c r="F221" s="3">
        <v>11.161290322580722</v>
      </c>
      <c r="G221" s="3">
        <v>5.6153846153846132</v>
      </c>
    </row>
    <row r="222" spans="1:7" x14ac:dyDescent="0.25">
      <c r="A222" t="s">
        <v>355</v>
      </c>
      <c r="B222" t="s">
        <v>443</v>
      </c>
      <c r="C222" t="s">
        <v>444</v>
      </c>
      <c r="D222" t="s">
        <v>30</v>
      </c>
      <c r="E222" s="3">
        <v>20.516129032258036</v>
      </c>
      <c r="F222" s="3">
        <v>20.096774193548448</v>
      </c>
      <c r="G222" s="3">
        <v>20.076923076923023</v>
      </c>
    </row>
    <row r="223" spans="1:7" x14ac:dyDescent="0.25">
      <c r="A223" t="s">
        <v>355</v>
      </c>
      <c r="B223" t="s">
        <v>445</v>
      </c>
      <c r="C223" t="s">
        <v>446</v>
      </c>
      <c r="D223" t="s">
        <v>30</v>
      </c>
      <c r="E223" s="3">
        <v>4.0645161290322553</v>
      </c>
      <c r="F223" s="3">
        <v>3.4838709677419328</v>
      </c>
      <c r="G223" s="3">
        <v>4.0000000000000036</v>
      </c>
    </row>
    <row r="224" spans="1:7" x14ac:dyDescent="0.25">
      <c r="A224" t="s">
        <v>355</v>
      </c>
      <c r="B224" t="s">
        <v>447</v>
      </c>
      <c r="C224" t="s">
        <v>448</v>
      </c>
      <c r="D224" t="s">
        <v>9</v>
      </c>
      <c r="E224" s="3">
        <v>2.9677419354838688</v>
      </c>
      <c r="F224" s="3">
        <v>2.6774193548387077</v>
      </c>
      <c r="G224" s="3">
        <v>3.0000000000000013</v>
      </c>
    </row>
    <row r="225" spans="1:7" x14ac:dyDescent="0.25">
      <c r="A225" t="s">
        <v>355</v>
      </c>
      <c r="B225" t="s">
        <v>449</v>
      </c>
      <c r="C225" t="s">
        <v>450</v>
      </c>
      <c r="D225" t="s">
        <v>9</v>
      </c>
      <c r="E225" s="3">
        <v>10.000000000000046</v>
      </c>
      <c r="F225" s="3">
        <v>9.1935483870968007</v>
      </c>
      <c r="G225" s="3">
        <v>10.692307692307672</v>
      </c>
    </row>
    <row r="226" spans="1:7" x14ac:dyDescent="0.25">
      <c r="A226" t="s">
        <v>355</v>
      </c>
      <c r="B226" t="s">
        <v>451</v>
      </c>
      <c r="C226" t="s">
        <v>452</v>
      </c>
      <c r="D226" t="s">
        <v>30</v>
      </c>
      <c r="E226" s="3">
        <v>0.38709677419354827</v>
      </c>
      <c r="F226" s="3">
        <v>0.48387096774193528</v>
      </c>
      <c r="G226" s="3">
        <v>0.38461538461538464</v>
      </c>
    </row>
    <row r="227" spans="1:7" x14ac:dyDescent="0.25">
      <c r="A227" t="s">
        <v>355</v>
      </c>
      <c r="B227" t="s">
        <v>453</v>
      </c>
      <c r="C227" t="s">
        <v>454</v>
      </c>
      <c r="D227" t="s">
        <v>14</v>
      </c>
      <c r="E227" s="3">
        <v>8.9032258064516085</v>
      </c>
      <c r="F227" s="3">
        <v>8.1612903225806424</v>
      </c>
      <c r="G227" s="3">
        <v>9.615384615384599</v>
      </c>
    </row>
    <row r="228" spans="1:7" x14ac:dyDescent="0.25">
      <c r="A228" t="s">
        <v>355</v>
      </c>
      <c r="B228" t="s">
        <v>455</v>
      </c>
      <c r="C228" t="s">
        <v>456</v>
      </c>
      <c r="D228" t="s">
        <v>9</v>
      </c>
      <c r="E228" s="3">
        <v>10.741935483871034</v>
      </c>
      <c r="F228" s="3">
        <v>11.032258064516203</v>
      </c>
      <c r="G228" s="3">
        <v>12.538461538461512</v>
      </c>
    </row>
    <row r="229" spans="1:7" x14ac:dyDescent="0.25">
      <c r="A229" t="s">
        <v>355</v>
      </c>
      <c r="B229" t="s">
        <v>457</v>
      </c>
      <c r="C229" t="s">
        <v>458</v>
      </c>
      <c r="D229" t="s">
        <v>9</v>
      </c>
      <c r="E229" s="3">
        <v>7.3225806451612883</v>
      </c>
      <c r="F229" s="3">
        <v>7.3225806451612874</v>
      </c>
      <c r="G229" s="3">
        <v>5.7692307692307665</v>
      </c>
    </row>
    <row r="230" spans="1:7" x14ac:dyDescent="0.25">
      <c r="A230" t="s">
        <v>355</v>
      </c>
      <c r="B230" t="s">
        <v>459</v>
      </c>
      <c r="C230" t="s">
        <v>460</v>
      </c>
      <c r="D230" t="s">
        <v>30</v>
      </c>
      <c r="E230" s="3">
        <v>1.2580645161290314</v>
      </c>
      <c r="F230" s="3">
        <v>1.1290322580645153</v>
      </c>
      <c r="G230" s="3">
        <v>0.92307692307692291</v>
      </c>
    </row>
    <row r="231" spans="1:7" x14ac:dyDescent="0.25">
      <c r="A231" t="s">
        <v>355</v>
      </c>
      <c r="B231" t="s">
        <v>461</v>
      </c>
      <c r="C231" t="s">
        <v>462</v>
      </c>
      <c r="D231" t="s">
        <v>30</v>
      </c>
      <c r="E231" s="3">
        <v>3.4516129032258038</v>
      </c>
      <c r="F231" s="3">
        <v>3.3870967741935458</v>
      </c>
      <c r="G231" s="3">
        <v>3.2307692307692326</v>
      </c>
    </row>
    <row r="232" spans="1:7" x14ac:dyDescent="0.25">
      <c r="A232" t="s">
        <v>355</v>
      </c>
      <c r="B232" t="s">
        <v>463</v>
      </c>
      <c r="C232" t="s">
        <v>464</v>
      </c>
      <c r="D232" t="s">
        <v>14</v>
      </c>
      <c r="E232" s="3">
        <v>2.4516129032258047</v>
      </c>
      <c r="F232" s="3">
        <v>2.7741935483870948</v>
      </c>
      <c r="G232" s="3">
        <v>2.692307692307693</v>
      </c>
    </row>
    <row r="233" spans="1:7" x14ac:dyDescent="0.25">
      <c r="A233" t="s">
        <v>355</v>
      </c>
      <c r="B233" t="s">
        <v>465</v>
      </c>
      <c r="C233" t="s">
        <v>466</v>
      </c>
      <c r="D233" t="s">
        <v>9</v>
      </c>
      <c r="E233" s="3">
        <v>5.1935483870967722</v>
      </c>
      <c r="F233" s="3">
        <v>5.6129032258064475</v>
      </c>
      <c r="G233" s="3">
        <v>7.3076923076922995</v>
      </c>
    </row>
    <row r="234" spans="1:7" x14ac:dyDescent="0.25">
      <c r="A234" t="s">
        <v>355</v>
      </c>
      <c r="B234" t="s">
        <v>467</v>
      </c>
      <c r="C234" t="s">
        <v>468</v>
      </c>
      <c r="D234" t="s">
        <v>9</v>
      </c>
      <c r="E234" s="3">
        <v>10.129032258064566</v>
      </c>
      <c r="F234" s="3">
        <v>10.387096774193605</v>
      </c>
      <c r="G234" s="3">
        <v>8.7692307692307558</v>
      </c>
    </row>
    <row r="235" spans="1:7" x14ac:dyDescent="0.25">
      <c r="A235" t="s">
        <v>355</v>
      </c>
      <c r="B235" t="s">
        <v>469</v>
      </c>
      <c r="C235" t="s">
        <v>470</v>
      </c>
      <c r="D235" t="s">
        <v>9</v>
      </c>
      <c r="E235" s="3">
        <v>9.3548387096774164</v>
      </c>
      <c r="F235" s="3">
        <v>9.5806451612903629</v>
      </c>
      <c r="G235" s="3">
        <v>11.84615384615385</v>
      </c>
    </row>
    <row r="236" spans="1:7" x14ac:dyDescent="0.25">
      <c r="A236" t="s">
        <v>355</v>
      </c>
      <c r="B236" t="s">
        <v>471</v>
      </c>
      <c r="C236" t="s">
        <v>472</v>
      </c>
      <c r="D236" t="s">
        <v>14</v>
      </c>
      <c r="E236" s="3">
        <v>4.9999999999999964</v>
      </c>
      <c r="F236" s="3">
        <v>4.7419354838709644</v>
      </c>
      <c r="G236" s="3">
        <v>4.0769230769230802</v>
      </c>
    </row>
    <row r="237" spans="1:7" x14ac:dyDescent="0.25">
      <c r="A237" t="s">
        <v>355</v>
      </c>
      <c r="B237" t="s">
        <v>473</v>
      </c>
      <c r="C237" t="s">
        <v>474</v>
      </c>
      <c r="D237" t="s">
        <v>14</v>
      </c>
      <c r="E237" s="3">
        <v>20.258064516129117</v>
      </c>
      <c r="F237" s="3">
        <v>20.483870967742014</v>
      </c>
      <c r="G237" s="3">
        <v>21.923076923076863</v>
      </c>
    </row>
    <row r="238" spans="1:7" x14ac:dyDescent="0.25">
      <c r="A238" t="s">
        <v>355</v>
      </c>
      <c r="B238" t="s">
        <v>475</v>
      </c>
      <c r="C238" t="s">
        <v>476</v>
      </c>
      <c r="D238" t="s">
        <v>9</v>
      </c>
      <c r="E238" s="3">
        <v>17.935483870967893</v>
      </c>
      <c r="F238" s="3">
        <v>17.709677419354996</v>
      </c>
      <c r="G238" s="3">
        <v>15.461538461538424</v>
      </c>
    </row>
    <row r="239" spans="1:7" x14ac:dyDescent="0.25">
      <c r="A239" t="s">
        <v>355</v>
      </c>
      <c r="B239" t="s">
        <v>477</v>
      </c>
      <c r="C239" t="s">
        <v>478</v>
      </c>
      <c r="D239" t="s">
        <v>9</v>
      </c>
      <c r="E239" s="3">
        <v>22.516129032258085</v>
      </c>
      <c r="F239" s="3">
        <v>21.483870967741986</v>
      </c>
      <c r="G239" s="3">
        <v>18.461538461538414</v>
      </c>
    </row>
    <row r="240" spans="1:7" x14ac:dyDescent="0.25">
      <c r="A240" t="s">
        <v>355</v>
      </c>
      <c r="B240" t="s">
        <v>479</v>
      </c>
      <c r="C240" t="s">
        <v>480</v>
      </c>
      <c r="D240" t="s">
        <v>14</v>
      </c>
      <c r="E240" s="3">
        <v>16.193548387096911</v>
      </c>
      <c r="F240" s="3">
        <v>14.322580645161452</v>
      </c>
      <c r="G240" s="3">
        <v>17.230769230769187</v>
      </c>
    </row>
    <row r="241" spans="1:7" x14ac:dyDescent="0.25">
      <c r="A241" t="s">
        <v>355</v>
      </c>
      <c r="B241" t="s">
        <v>481</v>
      </c>
      <c r="C241" t="s">
        <v>482</v>
      </c>
      <c r="D241" t="s">
        <v>9</v>
      </c>
      <c r="E241" s="3">
        <v>5.5483870967741895</v>
      </c>
      <c r="F241" s="3">
        <v>5.3548387096774155</v>
      </c>
      <c r="G241" s="3">
        <v>5.3076923076923066</v>
      </c>
    </row>
    <row r="242" spans="1:7" x14ac:dyDescent="0.25">
      <c r="A242" t="s">
        <v>355</v>
      </c>
      <c r="B242" t="s">
        <v>483</v>
      </c>
      <c r="C242" t="s">
        <v>484</v>
      </c>
      <c r="D242" t="s">
        <v>30</v>
      </c>
      <c r="E242" s="3">
        <v>19.612903225806555</v>
      </c>
      <c r="F242" s="3">
        <v>8.5806451612903309</v>
      </c>
      <c r="G242" s="3">
        <v>2.7692307692307701</v>
      </c>
    </row>
    <row r="243" spans="1:7" x14ac:dyDescent="0.25">
      <c r="A243" t="s">
        <v>355</v>
      </c>
      <c r="B243" t="s">
        <v>485</v>
      </c>
      <c r="C243" t="s">
        <v>486</v>
      </c>
      <c r="D243" t="s">
        <v>14</v>
      </c>
      <c r="E243" s="3">
        <v>8.8709677419355</v>
      </c>
      <c r="F243" s="3">
        <v>8.7096774193548505</v>
      </c>
      <c r="G243" s="3">
        <v>7.7692307692307594</v>
      </c>
    </row>
    <row r="244" spans="1:7" x14ac:dyDescent="0.25">
      <c r="A244" t="s">
        <v>355</v>
      </c>
      <c r="B244" t="s">
        <v>487</v>
      </c>
      <c r="C244" t="s">
        <v>488</v>
      </c>
      <c r="D244" t="s">
        <v>30</v>
      </c>
      <c r="E244" s="3">
        <v>4.8387096774193514</v>
      </c>
      <c r="F244" s="3">
        <v>6.2580645161290276</v>
      </c>
      <c r="G244" s="3">
        <v>6.9999999999999929</v>
      </c>
    </row>
    <row r="245" spans="1:7" x14ac:dyDescent="0.25">
      <c r="A245" t="s">
        <v>355</v>
      </c>
      <c r="B245" t="s">
        <v>489</v>
      </c>
      <c r="C245" t="s">
        <v>490</v>
      </c>
      <c r="D245" t="s">
        <v>14</v>
      </c>
      <c r="E245" s="3">
        <v>6.2903225806451566</v>
      </c>
      <c r="F245" s="3">
        <v>5.1935483870967705</v>
      </c>
      <c r="G245" s="3">
        <v>3.9230769230769265</v>
      </c>
    </row>
    <row r="246" spans="1:7" x14ac:dyDescent="0.25">
      <c r="A246" t="s">
        <v>355</v>
      </c>
      <c r="B246" t="s">
        <v>491</v>
      </c>
      <c r="C246" t="s">
        <v>492</v>
      </c>
      <c r="D246" t="s">
        <v>30</v>
      </c>
      <c r="E246" s="3">
        <v>1.6451612903225794</v>
      </c>
      <c r="F246" s="3">
        <v>1.9677419354838694</v>
      </c>
      <c r="G246" s="3">
        <v>1.7692307692307685</v>
      </c>
    </row>
    <row r="247" spans="1:7" x14ac:dyDescent="0.25">
      <c r="A247" t="s">
        <v>355</v>
      </c>
      <c r="B247" t="s">
        <v>493</v>
      </c>
      <c r="C247" t="s">
        <v>494</v>
      </c>
      <c r="D247" t="s">
        <v>14</v>
      </c>
      <c r="E247" s="3">
        <v>13.645161290322724</v>
      </c>
      <c r="F247" s="3">
        <v>13.096774193548516</v>
      </c>
      <c r="G247" s="3">
        <v>11.923076923076898</v>
      </c>
    </row>
    <row r="248" spans="1:7" x14ac:dyDescent="0.25">
      <c r="A248" t="s">
        <v>355</v>
      </c>
      <c r="B248" t="s">
        <v>495</v>
      </c>
      <c r="C248" t="s">
        <v>496</v>
      </c>
      <c r="D248" t="s">
        <v>30</v>
      </c>
      <c r="E248" s="3">
        <v>13.096774193548516</v>
      </c>
      <c r="F248" s="3">
        <v>13.838709677419436</v>
      </c>
      <c r="G248" s="3">
        <v>14.999999999999964</v>
      </c>
    </row>
    <row r="249" spans="1:7" x14ac:dyDescent="0.25">
      <c r="A249" t="s">
        <v>355</v>
      </c>
      <c r="B249" t="s">
        <v>497</v>
      </c>
      <c r="C249" t="s">
        <v>498</v>
      </c>
      <c r="D249" t="s">
        <v>14</v>
      </c>
      <c r="E249" s="3">
        <v>1.2258064516129024</v>
      </c>
      <c r="F249" s="3">
        <v>1.0645161290322573</v>
      </c>
      <c r="G249" s="3">
        <v>0.92307692307692291</v>
      </c>
    </row>
    <row r="250" spans="1:7" x14ac:dyDescent="0.25">
      <c r="A250" t="s">
        <v>355</v>
      </c>
      <c r="B250" t="s">
        <v>499</v>
      </c>
      <c r="C250" t="s">
        <v>500</v>
      </c>
      <c r="D250" t="s">
        <v>9</v>
      </c>
      <c r="E250" s="3">
        <v>6.4193548387096726</v>
      </c>
      <c r="F250" s="3">
        <v>4.6774193548387064</v>
      </c>
      <c r="G250" s="3">
        <v>4.3846153846153868</v>
      </c>
    </row>
    <row r="251" spans="1:7" x14ac:dyDescent="0.25">
      <c r="A251" t="s">
        <v>355</v>
      </c>
      <c r="B251" t="s">
        <v>501</v>
      </c>
      <c r="C251" t="s">
        <v>502</v>
      </c>
      <c r="D251" t="s">
        <v>30</v>
      </c>
      <c r="E251" s="3">
        <v>2.0967741935483857</v>
      </c>
      <c r="F251" s="3">
        <v>1.6129032258064504</v>
      </c>
      <c r="G251" s="3">
        <v>1.8461538461538454</v>
      </c>
    </row>
    <row r="252" spans="1:7" x14ac:dyDescent="0.25">
      <c r="A252" t="s">
        <v>355</v>
      </c>
      <c r="B252" t="s">
        <v>503</v>
      </c>
      <c r="C252" t="s">
        <v>504</v>
      </c>
      <c r="D252" t="s">
        <v>9</v>
      </c>
      <c r="E252" s="3">
        <v>21.483870967741986</v>
      </c>
      <c r="F252" s="3">
        <v>1.2258064516129024</v>
      </c>
      <c r="G252" s="3">
        <v>2.0769230769230762</v>
      </c>
    </row>
    <row r="253" spans="1:7" x14ac:dyDescent="0.25">
      <c r="A253" t="s">
        <v>355</v>
      </c>
      <c r="B253" t="s">
        <v>505</v>
      </c>
      <c r="C253" t="s">
        <v>506</v>
      </c>
      <c r="D253" t="s">
        <v>9</v>
      </c>
      <c r="E253" s="3">
        <v>19.000000000000121</v>
      </c>
      <c r="F253" s="3">
        <v>3.2258064516129031E-2</v>
      </c>
      <c r="G253" s="3"/>
    </row>
    <row r="254" spans="1:7" x14ac:dyDescent="0.25">
      <c r="A254" t="s">
        <v>355</v>
      </c>
      <c r="B254" t="s">
        <v>507</v>
      </c>
      <c r="C254" t="s">
        <v>508</v>
      </c>
      <c r="D254" t="s">
        <v>30</v>
      </c>
      <c r="E254" s="3">
        <v>18.290322580645302</v>
      </c>
      <c r="F254" s="3">
        <v>17.580645161290484</v>
      </c>
      <c r="G254" s="3">
        <v>18.53846153846149</v>
      </c>
    </row>
    <row r="255" spans="1:7" x14ac:dyDescent="0.25">
      <c r="A255" t="s">
        <v>355</v>
      </c>
      <c r="B255" t="s">
        <v>509</v>
      </c>
      <c r="C255" t="s">
        <v>510</v>
      </c>
      <c r="D255" t="s">
        <v>30</v>
      </c>
      <c r="E255" s="3">
        <v>16.064516129032462</v>
      </c>
      <c r="F255" s="3">
        <v>17.258064516129203</v>
      </c>
      <c r="G255" s="3">
        <v>18.230769230769184</v>
      </c>
    </row>
    <row r="256" spans="1:7" x14ac:dyDescent="0.25">
      <c r="A256" t="s">
        <v>355</v>
      </c>
      <c r="B256" t="s">
        <v>511</v>
      </c>
      <c r="C256" t="s">
        <v>512</v>
      </c>
      <c r="D256" t="s">
        <v>14</v>
      </c>
      <c r="E256" s="3">
        <v>6.2903225806451566</v>
      </c>
      <c r="F256" s="3">
        <v>11.96774193548397</v>
      </c>
      <c r="G256" s="3">
        <v>10.153846153846136</v>
      </c>
    </row>
    <row r="257" spans="1:7" x14ac:dyDescent="0.25">
      <c r="A257" t="s">
        <v>355</v>
      </c>
      <c r="B257" t="s">
        <v>513</v>
      </c>
      <c r="C257" t="s">
        <v>514</v>
      </c>
      <c r="D257" t="s">
        <v>9</v>
      </c>
      <c r="E257" s="3">
        <v>7.6774193548387037</v>
      </c>
      <c r="F257" s="3">
        <v>7.8064516129032198</v>
      </c>
      <c r="G257" s="3">
        <v>6.307692307692303</v>
      </c>
    </row>
    <row r="258" spans="1:7" x14ac:dyDescent="0.25">
      <c r="A258" t="s">
        <v>355</v>
      </c>
      <c r="B258" t="s">
        <v>515</v>
      </c>
      <c r="C258" t="s">
        <v>516</v>
      </c>
      <c r="D258" t="s">
        <v>30</v>
      </c>
      <c r="E258" s="3">
        <v>10.290322580645215</v>
      </c>
      <c r="F258" s="3">
        <v>10.322580645161345</v>
      </c>
      <c r="G258" s="3">
        <v>10.769230769230749</v>
      </c>
    </row>
    <row r="259" spans="1:7" x14ac:dyDescent="0.25">
      <c r="A259" t="s">
        <v>355</v>
      </c>
      <c r="B259" t="s">
        <v>517</v>
      </c>
      <c r="C259" t="s">
        <v>518</v>
      </c>
      <c r="D259" t="s">
        <v>9</v>
      </c>
      <c r="E259" s="3">
        <v>3.1935483870967718</v>
      </c>
      <c r="F259" s="3">
        <v>2.2258064516129017</v>
      </c>
      <c r="G259" s="3">
        <v>1.9999999999999991</v>
      </c>
    </row>
    <row r="260" spans="1:7" x14ac:dyDescent="0.25">
      <c r="A260" t="s">
        <v>355</v>
      </c>
      <c r="B260" t="s">
        <v>519</v>
      </c>
      <c r="C260" t="s">
        <v>520</v>
      </c>
      <c r="D260" t="s">
        <v>9</v>
      </c>
      <c r="E260" s="3">
        <v>1.8387096774193534</v>
      </c>
      <c r="F260" s="3">
        <v>2.0967741935483857</v>
      </c>
      <c r="G260" s="3">
        <v>2.3076923076923075</v>
      </c>
    </row>
    <row r="261" spans="1:7" x14ac:dyDescent="0.25">
      <c r="A261" t="s">
        <v>355</v>
      </c>
      <c r="B261" t="s">
        <v>521</v>
      </c>
      <c r="C261" t="s">
        <v>522</v>
      </c>
      <c r="D261" t="s">
        <v>30</v>
      </c>
      <c r="E261" s="3">
        <v>11.645161290322671</v>
      </c>
      <c r="F261" s="3">
        <v>7.6129032258064457</v>
      </c>
      <c r="G261" s="3">
        <v>11.384615384615362</v>
      </c>
    </row>
    <row r="262" spans="1:7" x14ac:dyDescent="0.25">
      <c r="A262" t="s">
        <v>355</v>
      </c>
      <c r="B262" t="s">
        <v>523</v>
      </c>
      <c r="C262" t="s">
        <v>524</v>
      </c>
      <c r="D262" t="s">
        <v>9</v>
      </c>
      <c r="E262" s="3">
        <v>19.967741935483982</v>
      </c>
      <c r="F262" s="3">
        <v>15.677419354838737</v>
      </c>
      <c r="G262" s="3">
        <v>12.615384615384595</v>
      </c>
    </row>
    <row r="263" spans="1:7" x14ac:dyDescent="0.25">
      <c r="A263" t="s">
        <v>355</v>
      </c>
      <c r="B263" t="s">
        <v>525</v>
      </c>
      <c r="C263" t="s">
        <v>526</v>
      </c>
      <c r="D263" t="s">
        <v>9</v>
      </c>
      <c r="E263" s="3">
        <v>12.193548387096879</v>
      </c>
      <c r="F263" s="3">
        <v>12.193548387096879</v>
      </c>
      <c r="G263" s="3">
        <v>9.8461538461538289</v>
      </c>
    </row>
    <row r="264" spans="1:7" x14ac:dyDescent="0.25">
      <c r="A264" t="s">
        <v>355</v>
      </c>
      <c r="B264" t="s">
        <v>527</v>
      </c>
      <c r="C264" t="s">
        <v>528</v>
      </c>
      <c r="D264" t="s">
        <v>30</v>
      </c>
      <c r="E264" s="3">
        <v>2.6451612903225787</v>
      </c>
      <c r="F264" s="3">
        <v>1.8064516129032244</v>
      </c>
      <c r="G264" s="3">
        <v>1.3846153846153841</v>
      </c>
    </row>
    <row r="265" spans="1:7" x14ac:dyDescent="0.25">
      <c r="A265" t="s">
        <v>355</v>
      </c>
      <c r="B265" t="s">
        <v>529</v>
      </c>
      <c r="C265" t="s">
        <v>530</v>
      </c>
      <c r="D265" t="s">
        <v>9</v>
      </c>
      <c r="E265" s="3">
        <v>5.3548387096774155</v>
      </c>
      <c r="F265" s="3">
        <v>4.6451612903225774</v>
      </c>
      <c r="G265" s="3">
        <v>5.4615384615384599</v>
      </c>
    </row>
    <row r="266" spans="1:7" x14ac:dyDescent="0.25">
      <c r="A266" t="s">
        <v>355</v>
      </c>
      <c r="B266" t="s">
        <v>531</v>
      </c>
      <c r="C266" t="s">
        <v>532</v>
      </c>
      <c r="D266" t="s">
        <v>9</v>
      </c>
      <c r="E266" s="3">
        <v>4.7419354838709644</v>
      </c>
      <c r="F266" s="3">
        <v>3.8387096774193519</v>
      </c>
      <c r="G266" s="3">
        <v>3.2307692307692326</v>
      </c>
    </row>
    <row r="267" spans="1:7" x14ac:dyDescent="0.25">
      <c r="A267" t="s">
        <v>355</v>
      </c>
      <c r="B267" t="s">
        <v>533</v>
      </c>
      <c r="C267" t="s">
        <v>534</v>
      </c>
      <c r="D267" t="s">
        <v>14</v>
      </c>
      <c r="E267" s="3">
        <v>5.3548387096774155</v>
      </c>
      <c r="F267" s="3">
        <v>4.0645161290322553</v>
      </c>
      <c r="G267" s="3">
        <v>4.1538461538461569</v>
      </c>
    </row>
    <row r="268" spans="1:7" x14ac:dyDescent="0.25">
      <c r="A268" t="s">
        <v>355</v>
      </c>
      <c r="B268" t="s">
        <v>535</v>
      </c>
      <c r="C268" t="s">
        <v>536</v>
      </c>
      <c r="D268" t="s">
        <v>30</v>
      </c>
      <c r="E268" s="3">
        <v>17.580645161290484</v>
      </c>
      <c r="F268" s="3">
        <v>11.612903225806541</v>
      </c>
      <c r="G268" s="3">
        <v>15.384615384615348</v>
      </c>
    </row>
    <row r="269" spans="1:7" x14ac:dyDescent="0.25">
      <c r="A269" t="s">
        <v>355</v>
      </c>
      <c r="B269" t="s">
        <v>537</v>
      </c>
      <c r="C269" t="s">
        <v>538</v>
      </c>
      <c r="D269" t="s">
        <v>14</v>
      </c>
      <c r="E269" s="3">
        <v>8.8709677419355</v>
      </c>
      <c r="F269" s="3">
        <v>6.9999999999999947</v>
      </c>
      <c r="G269" s="3">
        <v>7.846153846153836</v>
      </c>
    </row>
    <row r="270" spans="1:7" x14ac:dyDescent="0.25">
      <c r="A270" t="s">
        <v>355</v>
      </c>
      <c r="B270" t="s">
        <v>539</v>
      </c>
      <c r="C270" t="s">
        <v>540</v>
      </c>
      <c r="D270" t="s">
        <v>9</v>
      </c>
      <c r="E270" s="3">
        <v>8.3225806451612918</v>
      </c>
      <c r="F270" s="3">
        <v>5.6774193548387055</v>
      </c>
      <c r="G270" s="3">
        <v>4.9230769230769234</v>
      </c>
    </row>
    <row r="271" spans="1:7" x14ac:dyDescent="0.25">
      <c r="A271" t="s">
        <v>355</v>
      </c>
      <c r="B271" t="s">
        <v>541</v>
      </c>
      <c r="C271" t="s">
        <v>542</v>
      </c>
      <c r="D271" t="s">
        <v>30</v>
      </c>
      <c r="E271" s="3">
        <v>1.5806451612903214</v>
      </c>
      <c r="F271" s="3">
        <v>1.9677419354838694</v>
      </c>
      <c r="G271" s="3">
        <v>1.9999999999999991</v>
      </c>
    </row>
    <row r="272" spans="1:7" x14ac:dyDescent="0.25">
      <c r="A272" t="s">
        <v>355</v>
      </c>
      <c r="B272" t="s">
        <v>543</v>
      </c>
      <c r="C272" t="s">
        <v>544</v>
      </c>
      <c r="D272" t="s">
        <v>9</v>
      </c>
      <c r="E272" s="3">
        <v>2.7741935483870948</v>
      </c>
      <c r="F272" s="3">
        <v>2.4193548387096757</v>
      </c>
      <c r="G272" s="3">
        <v>1.8461538461538454</v>
      </c>
    </row>
    <row r="273" spans="1:7" x14ac:dyDescent="0.25">
      <c r="A273" t="s">
        <v>355</v>
      </c>
      <c r="B273" t="s">
        <v>545</v>
      </c>
      <c r="C273" t="s">
        <v>546</v>
      </c>
      <c r="D273" t="s">
        <v>9</v>
      </c>
      <c r="E273" s="3">
        <v>7.2580645161290267</v>
      </c>
      <c r="F273" s="3">
        <v>6.7741935483870916</v>
      </c>
      <c r="G273" s="3">
        <v>6.8461538461538396</v>
      </c>
    </row>
    <row r="274" spans="1:7" x14ac:dyDescent="0.25">
      <c r="A274" t="s">
        <v>355</v>
      </c>
      <c r="B274" t="s">
        <v>547</v>
      </c>
      <c r="C274" t="s">
        <v>548</v>
      </c>
      <c r="D274" t="s">
        <v>30</v>
      </c>
      <c r="E274" s="3">
        <v>7.9999999999999938</v>
      </c>
      <c r="F274" s="3">
        <v>7.6129032258064457</v>
      </c>
      <c r="G274" s="3">
        <v>7.5384615384615294</v>
      </c>
    </row>
    <row r="275" spans="1:7" x14ac:dyDescent="0.25">
      <c r="A275" t="s">
        <v>355</v>
      </c>
      <c r="B275" t="s">
        <v>549</v>
      </c>
      <c r="C275" t="s">
        <v>550</v>
      </c>
      <c r="D275" t="s">
        <v>14</v>
      </c>
      <c r="E275" s="3">
        <v>24.096774193548363</v>
      </c>
      <c r="F275" s="3">
        <v>24.419354838709637</v>
      </c>
      <c r="G275" s="3">
        <v>22.999999999999936</v>
      </c>
    </row>
    <row r="276" spans="1:7" x14ac:dyDescent="0.25">
      <c r="A276" t="s">
        <v>355</v>
      </c>
      <c r="B276" t="s">
        <v>551</v>
      </c>
      <c r="C276" t="s">
        <v>536</v>
      </c>
      <c r="D276" t="s">
        <v>30</v>
      </c>
      <c r="E276" s="3">
        <v>0.45161290322580627</v>
      </c>
      <c r="F276" s="3">
        <v>0.22580645161290322</v>
      </c>
      <c r="G276" s="3"/>
    </row>
    <row r="277" spans="1:7" x14ac:dyDescent="0.25">
      <c r="A277" t="s">
        <v>355</v>
      </c>
      <c r="B277" t="s">
        <v>552</v>
      </c>
      <c r="C277" t="s">
        <v>553</v>
      </c>
      <c r="D277" t="s">
        <v>9</v>
      </c>
      <c r="E277" s="3">
        <v>0.6774193548387093</v>
      </c>
      <c r="F277" s="3">
        <v>0.48387096774193528</v>
      </c>
      <c r="G277" s="3">
        <v>0.15384615384615385</v>
      </c>
    </row>
    <row r="278" spans="1:7" x14ac:dyDescent="0.25">
      <c r="A278" t="s">
        <v>355</v>
      </c>
      <c r="B278" t="s">
        <v>554</v>
      </c>
      <c r="C278" t="s">
        <v>555</v>
      </c>
      <c r="D278" t="s">
        <v>30</v>
      </c>
      <c r="E278" s="3">
        <v>0.54838709677419328</v>
      </c>
      <c r="F278" s="3">
        <v>0.74193548387096731</v>
      </c>
      <c r="G278" s="3">
        <v>0.53846153846153855</v>
      </c>
    </row>
    <row r="279" spans="1:7" x14ac:dyDescent="0.25">
      <c r="A279" t="s">
        <v>355</v>
      </c>
      <c r="B279" t="s">
        <v>556</v>
      </c>
      <c r="C279" t="s">
        <v>557</v>
      </c>
      <c r="D279" t="s">
        <v>14</v>
      </c>
      <c r="E279" s="3">
        <v>1.3548387096774184</v>
      </c>
      <c r="F279" s="3">
        <v>1.0967741935483863</v>
      </c>
      <c r="G279" s="3">
        <v>1.0769230769230766</v>
      </c>
    </row>
    <row r="280" spans="1:7" x14ac:dyDescent="0.25">
      <c r="A280" t="s">
        <v>355</v>
      </c>
      <c r="B280" t="s">
        <v>558</v>
      </c>
      <c r="C280" t="s">
        <v>516</v>
      </c>
      <c r="D280" t="s">
        <v>30</v>
      </c>
      <c r="E280" s="3">
        <v>11.612903225806541</v>
      </c>
      <c r="F280" s="3">
        <v>11.290322580645228</v>
      </c>
      <c r="G280" s="3">
        <v>11.384615384615362</v>
      </c>
    </row>
    <row r="281" spans="1:7" x14ac:dyDescent="0.25">
      <c r="A281" t="s">
        <v>355</v>
      </c>
      <c r="B281" t="s">
        <v>559</v>
      </c>
      <c r="C281" t="s">
        <v>560</v>
      </c>
      <c r="D281" t="s">
        <v>9</v>
      </c>
      <c r="E281" s="3">
        <v>6.1935483870967696</v>
      </c>
      <c r="F281" s="3">
        <v>6.9677419354838657</v>
      </c>
      <c r="G281" s="3">
        <v>5</v>
      </c>
    </row>
    <row r="282" spans="1:7" x14ac:dyDescent="0.25">
      <c r="A282" t="s">
        <v>355</v>
      </c>
      <c r="B282" t="s">
        <v>561</v>
      </c>
      <c r="C282" t="s">
        <v>562</v>
      </c>
      <c r="D282" t="s">
        <v>9</v>
      </c>
      <c r="E282" s="3">
        <v>13.548387096774334</v>
      </c>
      <c r="F282" s="3">
        <v>12.967741935484</v>
      </c>
      <c r="G282" s="3">
        <v>9.3076923076922924</v>
      </c>
    </row>
    <row r="283" spans="1:7" x14ac:dyDescent="0.25">
      <c r="A283" t="s">
        <v>355</v>
      </c>
      <c r="B283" t="s">
        <v>563</v>
      </c>
      <c r="C283" t="s">
        <v>564</v>
      </c>
      <c r="D283" t="s">
        <v>14</v>
      </c>
      <c r="E283" s="3">
        <v>1.4193548387096764</v>
      </c>
      <c r="F283" s="3">
        <v>1.0967741935483863</v>
      </c>
      <c r="G283" s="3">
        <v>1.3076923076923073</v>
      </c>
    </row>
    <row r="284" spans="1:7" x14ac:dyDescent="0.25">
      <c r="A284" t="s">
        <v>355</v>
      </c>
      <c r="B284" t="s">
        <v>565</v>
      </c>
      <c r="C284" t="s">
        <v>566</v>
      </c>
      <c r="D284" t="s">
        <v>14</v>
      </c>
      <c r="E284" s="3">
        <v>10.580645161290384</v>
      </c>
      <c r="F284" s="3">
        <v>9.6451612903226174</v>
      </c>
      <c r="G284" s="3">
        <v>6.538461538461533</v>
      </c>
    </row>
    <row r="285" spans="1:7" x14ac:dyDescent="0.25">
      <c r="A285" t="s">
        <v>355</v>
      </c>
      <c r="B285" t="s">
        <v>567</v>
      </c>
      <c r="C285" t="s">
        <v>568</v>
      </c>
      <c r="D285" t="s">
        <v>9</v>
      </c>
      <c r="E285" s="3">
        <v>2.1935483870967727</v>
      </c>
      <c r="F285" s="3">
        <v>1.6774193548387084</v>
      </c>
      <c r="G285" s="3">
        <v>2.1538461538461533</v>
      </c>
    </row>
    <row r="286" spans="1:7" x14ac:dyDescent="0.25">
      <c r="A286" t="s">
        <v>355</v>
      </c>
      <c r="B286" t="s">
        <v>569</v>
      </c>
      <c r="C286" t="s">
        <v>570</v>
      </c>
      <c r="D286" t="s">
        <v>14</v>
      </c>
      <c r="E286" s="3">
        <v>0.6774193548387093</v>
      </c>
      <c r="F286" s="3">
        <v>0.83870967741935432</v>
      </c>
      <c r="G286" s="3">
        <v>0.61538461538461542</v>
      </c>
    </row>
    <row r="287" spans="1:7" x14ac:dyDescent="0.25">
      <c r="A287" t="s">
        <v>355</v>
      </c>
      <c r="B287" t="s">
        <v>571</v>
      </c>
      <c r="C287" t="s">
        <v>572</v>
      </c>
      <c r="D287" t="s">
        <v>9</v>
      </c>
      <c r="E287" s="3">
        <v>2.0967741935483857</v>
      </c>
      <c r="F287" s="3">
        <v>1.1935483870967734</v>
      </c>
      <c r="G287" s="3">
        <v>1.6153846153846148</v>
      </c>
    </row>
    <row r="288" spans="1:7" x14ac:dyDescent="0.25">
      <c r="A288" t="s">
        <v>355</v>
      </c>
      <c r="B288" t="s">
        <v>573</v>
      </c>
      <c r="C288" t="s">
        <v>574</v>
      </c>
      <c r="D288" t="s">
        <v>30</v>
      </c>
      <c r="E288" s="3">
        <v>2.1612903225806437</v>
      </c>
      <c r="F288" s="3">
        <v>1.9999999999999984</v>
      </c>
      <c r="G288" s="3">
        <v>2.0769230769230762</v>
      </c>
    </row>
    <row r="289" spans="1:7" x14ac:dyDescent="0.25">
      <c r="A289" t="s">
        <v>355</v>
      </c>
      <c r="B289" t="s">
        <v>575</v>
      </c>
      <c r="C289" t="s">
        <v>576</v>
      </c>
      <c r="D289" t="s">
        <v>9</v>
      </c>
      <c r="E289" s="3">
        <v>2.0322580645161277</v>
      </c>
      <c r="F289" s="3">
        <v>1.8387096774193534</v>
      </c>
      <c r="G289" s="3">
        <v>1.6923076923076916</v>
      </c>
    </row>
    <row r="290" spans="1:7" x14ac:dyDescent="0.25">
      <c r="A290" t="s">
        <v>355</v>
      </c>
      <c r="B290" t="s">
        <v>577</v>
      </c>
      <c r="C290" t="s">
        <v>578</v>
      </c>
      <c r="D290" t="s">
        <v>9</v>
      </c>
      <c r="E290" s="3">
        <v>0.48387096774193528</v>
      </c>
      <c r="F290" s="3">
        <v>0.6774193548387093</v>
      </c>
      <c r="G290" s="3">
        <v>0.38461538461538464</v>
      </c>
    </row>
    <row r="291" spans="1:7" x14ac:dyDescent="0.25">
      <c r="A291" t="s">
        <v>355</v>
      </c>
      <c r="B291" t="s">
        <v>579</v>
      </c>
      <c r="C291" t="s">
        <v>580</v>
      </c>
      <c r="D291" t="s">
        <v>30</v>
      </c>
      <c r="E291" s="3">
        <v>2.5806451612903207</v>
      </c>
      <c r="F291" s="3">
        <v>1.8709677419354824</v>
      </c>
      <c r="G291" s="3">
        <v>1.8461538461538454</v>
      </c>
    </row>
    <row r="292" spans="1:7" x14ac:dyDescent="0.25">
      <c r="A292" t="s">
        <v>355</v>
      </c>
      <c r="B292" t="s">
        <v>581</v>
      </c>
      <c r="C292" t="s">
        <v>582</v>
      </c>
      <c r="D292" t="s">
        <v>14</v>
      </c>
      <c r="E292" s="3">
        <v>2.2903225806451597</v>
      </c>
      <c r="F292" s="3">
        <v>3.4516129032258038</v>
      </c>
      <c r="G292" s="3">
        <v>3.1538461538461555</v>
      </c>
    </row>
    <row r="293" spans="1:7" x14ac:dyDescent="0.25">
      <c r="A293" t="s">
        <v>355</v>
      </c>
      <c r="B293" t="s">
        <v>583</v>
      </c>
      <c r="C293" t="s">
        <v>584</v>
      </c>
      <c r="D293" t="s">
        <v>14</v>
      </c>
      <c r="E293" s="3">
        <v>0.99999999999999933</v>
      </c>
      <c r="F293" s="3">
        <v>1.2258064516129024</v>
      </c>
      <c r="G293" s="3">
        <v>1.7692307692307685</v>
      </c>
    </row>
    <row r="294" spans="1:7" x14ac:dyDescent="0.25">
      <c r="A294" t="s">
        <v>355</v>
      </c>
      <c r="B294" t="s">
        <v>585</v>
      </c>
      <c r="C294" t="s">
        <v>586</v>
      </c>
      <c r="D294" t="s">
        <v>9</v>
      </c>
      <c r="E294" s="3">
        <v>3.6451612903225779</v>
      </c>
      <c r="F294" s="3">
        <v>2.2258064516129017</v>
      </c>
      <c r="G294" s="3">
        <v>3.0000000000000013</v>
      </c>
    </row>
    <row r="295" spans="1:7" x14ac:dyDescent="0.25">
      <c r="A295" t="s">
        <v>355</v>
      </c>
      <c r="B295" t="s">
        <v>587</v>
      </c>
      <c r="C295" t="s">
        <v>588</v>
      </c>
      <c r="D295" t="s">
        <v>9</v>
      </c>
      <c r="E295" s="3">
        <v>10.290322580645215</v>
      </c>
      <c r="F295" s="3">
        <v>11.87096774193558</v>
      </c>
      <c r="G295" s="3">
        <v>10.153846153846136</v>
      </c>
    </row>
    <row r="296" spans="1:7" x14ac:dyDescent="0.25">
      <c r="A296" t="s">
        <v>355</v>
      </c>
      <c r="B296" t="s">
        <v>589</v>
      </c>
      <c r="C296" t="s">
        <v>590</v>
      </c>
      <c r="D296" t="s">
        <v>9</v>
      </c>
      <c r="E296" s="3">
        <v>3.2258064516129031E-2</v>
      </c>
      <c r="F296" s="3">
        <v>10.580645161290384</v>
      </c>
      <c r="G296" s="3">
        <v>5.2307692307692299</v>
      </c>
    </row>
    <row r="297" spans="1:7" x14ac:dyDescent="0.25">
      <c r="A297" t="s">
        <v>355</v>
      </c>
      <c r="B297" t="s">
        <v>591</v>
      </c>
      <c r="C297" t="s">
        <v>592</v>
      </c>
      <c r="D297" t="s">
        <v>14</v>
      </c>
      <c r="E297" s="3"/>
      <c r="F297" s="3">
        <v>0.16129032258064516</v>
      </c>
      <c r="G297" s="3">
        <v>7.6923076923076927E-2</v>
      </c>
    </row>
    <row r="298" spans="1:7" x14ac:dyDescent="0.25">
      <c r="A298" t="s">
        <v>593</v>
      </c>
      <c r="B298" t="s">
        <v>594</v>
      </c>
      <c r="C298" t="s">
        <v>595</v>
      </c>
      <c r="D298" t="s">
        <v>9</v>
      </c>
      <c r="E298" s="3">
        <v>2.5806451612903207</v>
      </c>
      <c r="F298" s="3">
        <v>2.3548387096774177</v>
      </c>
      <c r="G298" s="3">
        <v>2.4615384615384617</v>
      </c>
    </row>
    <row r="299" spans="1:7" x14ac:dyDescent="0.25">
      <c r="A299" t="s">
        <v>593</v>
      </c>
      <c r="B299" t="s">
        <v>596</v>
      </c>
      <c r="C299" t="s">
        <v>597</v>
      </c>
      <c r="D299" t="s">
        <v>9</v>
      </c>
      <c r="E299" s="3">
        <v>10.451612903225822</v>
      </c>
      <c r="F299" s="3">
        <v>11.96774193548397</v>
      </c>
      <c r="G299" s="3">
        <v>12.153846153846128</v>
      </c>
    </row>
    <row r="300" spans="1:7" x14ac:dyDescent="0.25">
      <c r="A300" t="s">
        <v>593</v>
      </c>
      <c r="B300" t="s">
        <v>598</v>
      </c>
      <c r="C300" t="s">
        <v>599</v>
      </c>
      <c r="D300" t="s">
        <v>9</v>
      </c>
      <c r="E300" s="3">
        <v>3.2903225806451588</v>
      </c>
      <c r="F300" s="3">
        <v>2.3548387096774177</v>
      </c>
      <c r="G300" s="3">
        <v>2.8461538461538471</v>
      </c>
    </row>
    <row r="301" spans="1:7" x14ac:dyDescent="0.25">
      <c r="A301" t="s">
        <v>593</v>
      </c>
      <c r="B301" t="s">
        <v>600</v>
      </c>
      <c r="C301" t="s">
        <v>601</v>
      </c>
      <c r="D301" t="s">
        <v>9</v>
      </c>
      <c r="E301" s="3">
        <v>2.3225806451612887</v>
      </c>
      <c r="F301" s="3">
        <v>1.5806451612903214</v>
      </c>
      <c r="G301" s="3">
        <v>1.7692307692307685</v>
      </c>
    </row>
    <row r="302" spans="1:7" x14ac:dyDescent="0.25">
      <c r="A302" t="s">
        <v>593</v>
      </c>
      <c r="B302" t="s">
        <v>602</v>
      </c>
      <c r="C302" t="s">
        <v>603</v>
      </c>
      <c r="D302" t="s">
        <v>9</v>
      </c>
      <c r="E302" s="3">
        <v>7.5161290322580605</v>
      </c>
      <c r="F302" s="3">
        <v>8.3548387096774217</v>
      </c>
      <c r="G302" s="3">
        <v>7.846153846153836</v>
      </c>
    </row>
    <row r="303" spans="1:7" x14ac:dyDescent="0.25">
      <c r="A303" t="s">
        <v>593</v>
      </c>
      <c r="B303" t="s">
        <v>604</v>
      </c>
      <c r="C303" t="s">
        <v>605</v>
      </c>
      <c r="D303" t="s">
        <v>9</v>
      </c>
      <c r="E303" s="3">
        <v>14.419354838709845</v>
      </c>
      <c r="F303" s="3">
        <v>11.677419354838801</v>
      </c>
      <c r="G303" s="3">
        <v>12.461538461538435</v>
      </c>
    </row>
    <row r="304" spans="1:7" x14ac:dyDescent="0.25">
      <c r="A304" t="s">
        <v>593</v>
      </c>
      <c r="B304" t="s">
        <v>606</v>
      </c>
      <c r="C304" t="s">
        <v>607</v>
      </c>
      <c r="D304" t="s">
        <v>9</v>
      </c>
      <c r="E304" s="3">
        <v>4.9999999999999964</v>
      </c>
      <c r="F304" s="3">
        <v>5.2580645161290285</v>
      </c>
      <c r="G304" s="3">
        <v>4.9230769230769234</v>
      </c>
    </row>
    <row r="305" spans="1:7" x14ac:dyDescent="0.25">
      <c r="A305" t="s">
        <v>593</v>
      </c>
      <c r="B305" t="s">
        <v>608</v>
      </c>
      <c r="C305" t="s">
        <v>609</v>
      </c>
      <c r="D305" t="s">
        <v>9</v>
      </c>
      <c r="E305" s="3">
        <v>1.6451612903225794</v>
      </c>
      <c r="F305" s="3">
        <v>1.0645161290322573</v>
      </c>
      <c r="G305" s="3">
        <v>1.2307692307692304</v>
      </c>
    </row>
    <row r="306" spans="1:7" x14ac:dyDescent="0.25">
      <c r="A306" t="s">
        <v>593</v>
      </c>
      <c r="B306" t="s">
        <v>610</v>
      </c>
      <c r="C306" t="s">
        <v>611</v>
      </c>
      <c r="D306" t="s">
        <v>9</v>
      </c>
      <c r="E306" s="3">
        <v>4.9999999999999964</v>
      </c>
      <c r="F306" s="3">
        <v>3.9032258064516099</v>
      </c>
      <c r="G306" s="3">
        <v>3.8461538461538494</v>
      </c>
    </row>
    <row r="307" spans="1:7" x14ac:dyDescent="0.25">
      <c r="A307" t="s">
        <v>593</v>
      </c>
      <c r="B307" t="s">
        <v>612</v>
      </c>
      <c r="C307" t="s">
        <v>613</v>
      </c>
      <c r="D307" t="s">
        <v>14</v>
      </c>
      <c r="E307" s="3">
        <v>20.419354838709758</v>
      </c>
      <c r="F307" s="3">
        <v>17.193548387096843</v>
      </c>
      <c r="G307" s="3">
        <v>19.153846153846104</v>
      </c>
    </row>
    <row r="308" spans="1:7" x14ac:dyDescent="0.25">
      <c r="A308" t="s">
        <v>593</v>
      </c>
      <c r="B308" t="s">
        <v>614</v>
      </c>
      <c r="C308" t="s">
        <v>615</v>
      </c>
      <c r="D308" t="s">
        <v>30</v>
      </c>
      <c r="E308" s="3">
        <v>3.2903225806451588</v>
      </c>
      <c r="F308" s="3">
        <v>2.9677419354838688</v>
      </c>
      <c r="G308" s="3">
        <v>2.3846153846153846</v>
      </c>
    </row>
    <row r="309" spans="1:7" x14ac:dyDescent="0.25">
      <c r="A309" t="s">
        <v>593</v>
      </c>
      <c r="B309" t="s">
        <v>616</v>
      </c>
      <c r="C309" t="s">
        <v>617</v>
      </c>
      <c r="D309" t="s">
        <v>30</v>
      </c>
      <c r="E309" s="3">
        <v>2.3548387096774177</v>
      </c>
      <c r="F309" s="3">
        <v>3.0967741935483848</v>
      </c>
      <c r="G309" s="3">
        <v>3.0769230769230784</v>
      </c>
    </row>
    <row r="310" spans="1:7" x14ac:dyDescent="0.25">
      <c r="A310" t="s">
        <v>593</v>
      </c>
      <c r="B310" t="s">
        <v>618</v>
      </c>
      <c r="C310" t="s">
        <v>619</v>
      </c>
      <c r="D310" t="s">
        <v>14</v>
      </c>
      <c r="E310" s="3">
        <v>9.6774193548387094E-2</v>
      </c>
      <c r="F310" s="3">
        <v>0.25806451612903225</v>
      </c>
      <c r="G310" s="3">
        <v>0.23076923076923078</v>
      </c>
    </row>
    <row r="311" spans="1:7" x14ac:dyDescent="0.25">
      <c r="A311" t="s">
        <v>593</v>
      </c>
      <c r="B311" t="s">
        <v>620</v>
      </c>
      <c r="C311" t="s">
        <v>621</v>
      </c>
      <c r="D311" t="s">
        <v>14</v>
      </c>
      <c r="E311" s="3">
        <v>2.7419354838709671</v>
      </c>
      <c r="F311" s="3">
        <v>3.6774193548387069</v>
      </c>
      <c r="G311" s="3">
        <v>2.3076923076923075</v>
      </c>
    </row>
    <row r="312" spans="1:7" x14ac:dyDescent="0.25">
      <c r="A312" t="s">
        <v>593</v>
      </c>
      <c r="B312" t="s">
        <v>622</v>
      </c>
      <c r="C312" t="s">
        <v>623</v>
      </c>
      <c r="D312" t="s">
        <v>14</v>
      </c>
      <c r="E312" s="3">
        <v>9.7419354838710071</v>
      </c>
      <c r="F312" s="3">
        <v>1.0967741935483863</v>
      </c>
      <c r="G312" s="3"/>
    </row>
    <row r="313" spans="1:7" x14ac:dyDescent="0.25">
      <c r="A313" t="s">
        <v>593</v>
      </c>
      <c r="B313" t="s">
        <v>624</v>
      </c>
      <c r="C313" t="s">
        <v>625</v>
      </c>
      <c r="D313" t="s">
        <v>14</v>
      </c>
      <c r="E313" s="3">
        <v>8.2580645161290285</v>
      </c>
      <c r="F313" s="3">
        <v>8.1290322580645142</v>
      </c>
      <c r="G313" s="3">
        <v>7.9230769230769145</v>
      </c>
    </row>
    <row r="314" spans="1:7" x14ac:dyDescent="0.25">
      <c r="A314" t="s">
        <v>593</v>
      </c>
      <c r="B314" t="s">
        <v>626</v>
      </c>
      <c r="C314" t="s">
        <v>627</v>
      </c>
      <c r="D314" t="s">
        <v>30</v>
      </c>
      <c r="E314" s="3">
        <v>23.516129032258046</v>
      </c>
      <c r="F314" s="3">
        <v>20.290322580645121</v>
      </c>
      <c r="G314" s="3">
        <v>23.384615384615341</v>
      </c>
    </row>
    <row r="315" spans="1:7" x14ac:dyDescent="0.25">
      <c r="A315" t="s">
        <v>593</v>
      </c>
      <c r="B315" t="s">
        <v>628</v>
      </c>
      <c r="C315" t="s">
        <v>629</v>
      </c>
      <c r="D315" t="s">
        <v>14</v>
      </c>
      <c r="E315" s="3">
        <v>2.4516129032258047</v>
      </c>
      <c r="F315" s="3">
        <v>2.4838709677419337</v>
      </c>
      <c r="G315" s="3">
        <v>1.9230769230769222</v>
      </c>
    </row>
    <row r="316" spans="1:7" x14ac:dyDescent="0.25">
      <c r="A316" t="s">
        <v>593</v>
      </c>
      <c r="B316" t="s">
        <v>630</v>
      </c>
      <c r="C316" t="s">
        <v>631</v>
      </c>
      <c r="D316" t="s">
        <v>14</v>
      </c>
      <c r="E316" s="3">
        <v>9.1290322580645391</v>
      </c>
      <c r="F316" s="3">
        <v>9.8387096774193967</v>
      </c>
      <c r="G316" s="3">
        <v>6.9230769230769162</v>
      </c>
    </row>
    <row r="317" spans="1:7" x14ac:dyDescent="0.25">
      <c r="A317" t="s">
        <v>593</v>
      </c>
      <c r="B317" t="s">
        <v>632</v>
      </c>
      <c r="C317" t="s">
        <v>633</v>
      </c>
      <c r="D317" t="s">
        <v>9</v>
      </c>
      <c r="E317" s="3">
        <v>5.7741935483870925</v>
      </c>
      <c r="F317" s="3">
        <v>5.6774193548387055</v>
      </c>
      <c r="G317" s="3">
        <v>5.1538461538461533</v>
      </c>
    </row>
    <row r="318" spans="1:7" x14ac:dyDescent="0.25">
      <c r="A318" t="s">
        <v>593</v>
      </c>
      <c r="B318" t="s">
        <v>634</v>
      </c>
      <c r="C318" t="s">
        <v>635</v>
      </c>
      <c r="D318" t="s">
        <v>9</v>
      </c>
      <c r="E318" s="3">
        <v>15.58064516129037</v>
      </c>
      <c r="F318" s="3">
        <v>19.000000000000078</v>
      </c>
      <c r="G318" s="3">
        <v>12.692307692307665</v>
      </c>
    </row>
    <row r="319" spans="1:7" x14ac:dyDescent="0.25">
      <c r="A319" t="s">
        <v>593</v>
      </c>
      <c r="B319" t="s">
        <v>636</v>
      </c>
      <c r="C319" t="s">
        <v>637</v>
      </c>
      <c r="D319" t="s">
        <v>30</v>
      </c>
      <c r="E319" s="3">
        <v>6.7096774193548336</v>
      </c>
      <c r="F319" s="3">
        <v>6.1290322580645116</v>
      </c>
      <c r="G319" s="3">
        <v>6.9230769230769162</v>
      </c>
    </row>
    <row r="320" spans="1:7" x14ac:dyDescent="0.25">
      <c r="A320" t="s">
        <v>593</v>
      </c>
      <c r="B320" t="s">
        <v>638</v>
      </c>
      <c r="C320" t="s">
        <v>639</v>
      </c>
      <c r="D320" t="s">
        <v>30</v>
      </c>
      <c r="E320" s="3">
        <v>3.9999999999999969</v>
      </c>
      <c r="F320" s="3">
        <v>4.9032258064516094</v>
      </c>
      <c r="G320" s="3">
        <v>5.0769230769230766</v>
      </c>
    </row>
    <row r="321" spans="1:7" x14ac:dyDescent="0.25">
      <c r="A321" t="s">
        <v>593</v>
      </c>
      <c r="B321" t="s">
        <v>640</v>
      </c>
      <c r="C321" t="s">
        <v>641</v>
      </c>
      <c r="D321" t="s">
        <v>9</v>
      </c>
      <c r="E321" s="3">
        <v>6.1935483870967696</v>
      </c>
      <c r="F321" s="3">
        <v>6.9032258064516077</v>
      </c>
      <c r="G321" s="3">
        <v>5.8461538461538431</v>
      </c>
    </row>
    <row r="322" spans="1:7" x14ac:dyDescent="0.25">
      <c r="A322" t="s">
        <v>593</v>
      </c>
      <c r="B322" t="s">
        <v>642</v>
      </c>
      <c r="C322" t="s">
        <v>643</v>
      </c>
      <c r="D322" t="s">
        <v>9</v>
      </c>
      <c r="E322" s="3">
        <v>10.161290322580696</v>
      </c>
      <c r="F322" s="3">
        <v>9.8064516129032668</v>
      </c>
      <c r="G322" s="3">
        <v>10.769230769230749</v>
      </c>
    </row>
    <row r="323" spans="1:7" x14ac:dyDescent="0.25">
      <c r="A323" t="s">
        <v>593</v>
      </c>
      <c r="B323" t="s">
        <v>644</v>
      </c>
      <c r="C323" t="s">
        <v>645</v>
      </c>
      <c r="D323" t="s">
        <v>9</v>
      </c>
      <c r="E323" s="3">
        <v>3.6129032258064488</v>
      </c>
      <c r="F323" s="3">
        <v>3.9999999999999969</v>
      </c>
      <c r="G323" s="3">
        <v>3.0000000000000013</v>
      </c>
    </row>
    <row r="324" spans="1:7" x14ac:dyDescent="0.25">
      <c r="A324" t="s">
        <v>593</v>
      </c>
      <c r="B324" t="s">
        <v>646</v>
      </c>
      <c r="C324" t="s">
        <v>647</v>
      </c>
      <c r="D324" t="s">
        <v>30</v>
      </c>
      <c r="E324" s="3">
        <v>7.3225806451612847</v>
      </c>
      <c r="F324" s="3">
        <v>8.7741935483871103</v>
      </c>
      <c r="G324" s="3">
        <v>7.2307692307692228</v>
      </c>
    </row>
    <row r="325" spans="1:7" x14ac:dyDescent="0.25">
      <c r="A325" t="s">
        <v>593</v>
      </c>
      <c r="B325" t="s">
        <v>648</v>
      </c>
      <c r="C325" t="s">
        <v>649</v>
      </c>
      <c r="D325" t="s">
        <v>14</v>
      </c>
      <c r="E325" s="3">
        <v>13.645161290322724</v>
      </c>
      <c r="F325" s="3">
        <v>15.387096774193671</v>
      </c>
      <c r="G325" s="3">
        <v>15.923076923076884</v>
      </c>
    </row>
    <row r="326" spans="1:7" x14ac:dyDescent="0.25">
      <c r="A326" t="s">
        <v>593</v>
      </c>
      <c r="B326" t="s">
        <v>650</v>
      </c>
      <c r="C326" t="s">
        <v>651</v>
      </c>
      <c r="D326" t="s">
        <v>14</v>
      </c>
      <c r="E326" s="3">
        <v>14.96774193548405</v>
      </c>
      <c r="F326" s="3">
        <v>11.870967741935575</v>
      </c>
      <c r="G326" s="3">
        <v>10.615384615384595</v>
      </c>
    </row>
    <row r="327" spans="1:7" x14ac:dyDescent="0.25">
      <c r="A327" t="s">
        <v>593</v>
      </c>
      <c r="B327" t="s">
        <v>652</v>
      </c>
      <c r="C327" t="s">
        <v>653</v>
      </c>
      <c r="D327" t="s">
        <v>14</v>
      </c>
      <c r="E327" s="3">
        <v>26.290322580645121</v>
      </c>
      <c r="F327" s="3">
        <v>24.451612903225673</v>
      </c>
      <c r="G327" s="3">
        <v>26.30769230769226</v>
      </c>
    </row>
    <row r="328" spans="1:7" x14ac:dyDescent="0.25">
      <c r="A328" t="s">
        <v>593</v>
      </c>
      <c r="B328" t="s">
        <v>654</v>
      </c>
      <c r="C328" t="s">
        <v>655</v>
      </c>
      <c r="D328" t="s">
        <v>30</v>
      </c>
      <c r="E328" s="3">
        <v>1.4193548387096764</v>
      </c>
      <c r="F328" s="3">
        <v>1.5806451612903214</v>
      </c>
      <c r="G328" s="3">
        <v>0.84615384615384603</v>
      </c>
    </row>
    <row r="329" spans="1:7" x14ac:dyDescent="0.25">
      <c r="A329" t="s">
        <v>593</v>
      </c>
      <c r="B329" t="s">
        <v>656</v>
      </c>
      <c r="C329" t="s">
        <v>655</v>
      </c>
      <c r="D329" t="s">
        <v>30</v>
      </c>
      <c r="E329" s="3">
        <v>4.1290322580645151</v>
      </c>
      <c r="F329" s="3">
        <v>3.4838709677419328</v>
      </c>
      <c r="G329" s="3">
        <v>1.9230769230769222</v>
      </c>
    </row>
    <row r="330" spans="1:7" x14ac:dyDescent="0.25">
      <c r="A330" t="s">
        <v>593</v>
      </c>
      <c r="B330" t="s">
        <v>657</v>
      </c>
      <c r="C330" t="s">
        <v>658</v>
      </c>
      <c r="D330" t="s">
        <v>14</v>
      </c>
      <c r="E330" s="3">
        <v>9.0967741935484092</v>
      </c>
      <c r="F330" s="3">
        <v>10.741935483871034</v>
      </c>
      <c r="G330" s="3">
        <v>8.3076923076922959</v>
      </c>
    </row>
    <row r="331" spans="1:7" x14ac:dyDescent="0.25">
      <c r="A331" t="s">
        <v>593</v>
      </c>
      <c r="B331" t="s">
        <v>659</v>
      </c>
      <c r="C331" t="s">
        <v>660</v>
      </c>
      <c r="D331" t="s">
        <v>30</v>
      </c>
      <c r="E331" s="3">
        <v>10.967741935483943</v>
      </c>
      <c r="F331" s="3">
        <v>10.967741935483948</v>
      </c>
      <c r="G331" s="3">
        <v>7.9230769230769127</v>
      </c>
    </row>
    <row r="332" spans="1:7" x14ac:dyDescent="0.25">
      <c r="A332" t="s">
        <v>593</v>
      </c>
      <c r="B332" t="s">
        <v>661</v>
      </c>
      <c r="C332" t="s">
        <v>662</v>
      </c>
      <c r="D332" t="s">
        <v>14</v>
      </c>
      <c r="E332" s="3">
        <v>2.2580645161290307</v>
      </c>
      <c r="F332" s="3">
        <v>0.54838709677419328</v>
      </c>
      <c r="G332" s="3">
        <v>1.2307692307692304</v>
      </c>
    </row>
    <row r="333" spans="1:7" x14ac:dyDescent="0.25">
      <c r="A333" t="s">
        <v>593</v>
      </c>
      <c r="B333" t="s">
        <v>663</v>
      </c>
      <c r="C333" t="s">
        <v>664</v>
      </c>
      <c r="D333" t="s">
        <v>9</v>
      </c>
      <c r="E333" s="3">
        <v>36.290322580644826</v>
      </c>
      <c r="F333" s="3">
        <v>40.580645161289738</v>
      </c>
      <c r="G333" s="3">
        <v>31.846153846153751</v>
      </c>
    </row>
    <row r="334" spans="1:7" x14ac:dyDescent="0.25">
      <c r="A334" t="s">
        <v>593</v>
      </c>
      <c r="B334" t="s">
        <v>665</v>
      </c>
      <c r="C334" t="s">
        <v>666</v>
      </c>
      <c r="D334" t="s">
        <v>14</v>
      </c>
      <c r="E334" s="3">
        <v>2.7096774193548367</v>
      </c>
      <c r="F334" s="3">
        <v>3.6774193548387069</v>
      </c>
      <c r="G334" s="3">
        <v>3.1538461538461555</v>
      </c>
    </row>
    <row r="335" spans="1:7" x14ac:dyDescent="0.25">
      <c r="A335" t="s">
        <v>593</v>
      </c>
      <c r="B335" t="s">
        <v>667</v>
      </c>
      <c r="C335" t="s">
        <v>668</v>
      </c>
      <c r="D335" t="s">
        <v>9</v>
      </c>
      <c r="E335" s="3">
        <v>1.6451612903225794</v>
      </c>
      <c r="F335" s="3">
        <v>1.5806451612903214</v>
      </c>
      <c r="G335" s="3">
        <v>1.0769230769230766</v>
      </c>
    </row>
    <row r="336" spans="1:7" x14ac:dyDescent="0.25">
      <c r="A336" t="s">
        <v>593</v>
      </c>
      <c r="B336" t="s">
        <v>669</v>
      </c>
      <c r="C336" t="s">
        <v>670</v>
      </c>
      <c r="D336" t="s">
        <v>9</v>
      </c>
      <c r="E336" s="3">
        <v>17.645161290322676</v>
      </c>
      <c r="F336" s="3">
        <v>14.870967741935663</v>
      </c>
      <c r="G336" s="3">
        <v>14.615384615384581</v>
      </c>
    </row>
    <row r="337" spans="1:7" x14ac:dyDescent="0.25">
      <c r="A337" t="s">
        <v>593</v>
      </c>
      <c r="B337" t="s">
        <v>671</v>
      </c>
      <c r="C337" t="s">
        <v>672</v>
      </c>
      <c r="D337" t="s">
        <v>9</v>
      </c>
      <c r="E337" s="3">
        <v>39.77419354838711</v>
      </c>
      <c r="F337" s="3">
        <v>44.774193548387046</v>
      </c>
      <c r="G337" s="3">
        <v>44.076923076923009</v>
      </c>
    </row>
    <row r="338" spans="1:7" x14ac:dyDescent="0.25">
      <c r="A338" t="s">
        <v>593</v>
      </c>
      <c r="B338" t="s">
        <v>673</v>
      </c>
      <c r="C338" t="s">
        <v>674</v>
      </c>
      <c r="D338" t="s">
        <v>9</v>
      </c>
      <c r="E338" s="3">
        <v>7.4516129032258007</v>
      </c>
      <c r="F338" s="3">
        <v>10.161290322580696</v>
      </c>
      <c r="G338" s="3">
        <v>7.6153846153846061</v>
      </c>
    </row>
    <row r="339" spans="1:7" x14ac:dyDescent="0.25">
      <c r="A339" t="s">
        <v>593</v>
      </c>
      <c r="B339" t="s">
        <v>675</v>
      </c>
      <c r="C339" t="s">
        <v>676</v>
      </c>
      <c r="D339" t="s">
        <v>14</v>
      </c>
      <c r="E339" s="3">
        <v>2.8064516129032238</v>
      </c>
      <c r="F339" s="3">
        <v>2.7096774193548367</v>
      </c>
      <c r="G339" s="3">
        <v>2.9230769230769242</v>
      </c>
    </row>
    <row r="340" spans="1:7" x14ac:dyDescent="0.25">
      <c r="A340" t="s">
        <v>593</v>
      </c>
      <c r="B340" t="s">
        <v>677</v>
      </c>
      <c r="C340" t="s">
        <v>678</v>
      </c>
      <c r="D340" t="s">
        <v>30</v>
      </c>
      <c r="E340" s="3">
        <v>3.8387096774193519</v>
      </c>
      <c r="F340" s="3">
        <v>2.8709677419354818</v>
      </c>
      <c r="G340" s="3">
        <v>2.6153846153846159</v>
      </c>
    </row>
    <row r="341" spans="1:7" x14ac:dyDescent="0.25">
      <c r="A341" t="s">
        <v>593</v>
      </c>
      <c r="B341" t="s">
        <v>679</v>
      </c>
      <c r="C341" t="s">
        <v>680</v>
      </c>
      <c r="D341" t="s">
        <v>14</v>
      </c>
      <c r="E341" s="3">
        <v>4.2580645161290294</v>
      </c>
      <c r="F341" s="3">
        <v>3.1935483870967718</v>
      </c>
      <c r="G341" s="3">
        <v>2.9230769230769242</v>
      </c>
    </row>
    <row r="342" spans="1:7" x14ac:dyDescent="0.25">
      <c r="A342" t="s">
        <v>593</v>
      </c>
      <c r="B342" t="s">
        <v>681</v>
      </c>
      <c r="C342" t="s">
        <v>682</v>
      </c>
      <c r="D342" t="s">
        <v>30</v>
      </c>
      <c r="E342" s="3">
        <v>1.4193548387096764</v>
      </c>
      <c r="F342" s="3">
        <v>0.83870967741935432</v>
      </c>
      <c r="G342" s="3">
        <v>1.6923076923076916</v>
      </c>
    </row>
    <row r="343" spans="1:7" x14ac:dyDescent="0.25">
      <c r="A343" t="s">
        <v>593</v>
      </c>
      <c r="B343" t="s">
        <v>683</v>
      </c>
      <c r="C343" t="s">
        <v>684</v>
      </c>
      <c r="D343" t="s">
        <v>14</v>
      </c>
      <c r="E343" s="3">
        <v>1.5483870967741924</v>
      </c>
      <c r="F343" s="3">
        <v>0.99999999999999933</v>
      </c>
      <c r="G343" s="3">
        <v>0.99999999999999978</v>
      </c>
    </row>
    <row r="344" spans="1:7" x14ac:dyDescent="0.25">
      <c r="A344" t="s">
        <v>593</v>
      </c>
      <c r="B344" t="s">
        <v>685</v>
      </c>
      <c r="C344" t="s">
        <v>686</v>
      </c>
      <c r="D344" t="s">
        <v>14</v>
      </c>
      <c r="E344" s="3">
        <v>2.1612903225806437</v>
      </c>
      <c r="F344" s="3">
        <v>2.0967741935483857</v>
      </c>
      <c r="G344" s="3">
        <v>1.7692307692307685</v>
      </c>
    </row>
    <row r="345" spans="1:7" x14ac:dyDescent="0.25">
      <c r="A345" t="s">
        <v>593</v>
      </c>
      <c r="B345" t="s">
        <v>687</v>
      </c>
      <c r="C345" t="s">
        <v>688</v>
      </c>
      <c r="D345" t="s">
        <v>30</v>
      </c>
      <c r="E345" s="3">
        <v>6.0645161290322536</v>
      </c>
      <c r="F345" s="3">
        <v>6.1935483870967696</v>
      </c>
      <c r="G345" s="3">
        <v>5.7692307692307665</v>
      </c>
    </row>
    <row r="346" spans="1:7" x14ac:dyDescent="0.25">
      <c r="A346" t="s">
        <v>593</v>
      </c>
      <c r="B346" t="s">
        <v>689</v>
      </c>
      <c r="C346" t="s">
        <v>690</v>
      </c>
      <c r="D346" t="s">
        <v>9</v>
      </c>
      <c r="E346" s="3">
        <v>2.1290322580645147</v>
      </c>
      <c r="F346" s="3">
        <v>1.7741935483870954</v>
      </c>
      <c r="G346" s="3">
        <v>1.5384615384615379</v>
      </c>
    </row>
    <row r="347" spans="1:7" x14ac:dyDescent="0.25">
      <c r="A347" t="s">
        <v>593</v>
      </c>
      <c r="B347" t="s">
        <v>691</v>
      </c>
      <c r="C347" t="s">
        <v>692</v>
      </c>
      <c r="D347" t="s">
        <v>14</v>
      </c>
      <c r="E347" s="3">
        <v>0.19354838709677419</v>
      </c>
      <c r="F347" s="3">
        <v>0.6774193548387093</v>
      </c>
      <c r="G347" s="3">
        <v>0.15384615384615385</v>
      </c>
    </row>
    <row r="348" spans="1:7" x14ac:dyDescent="0.25">
      <c r="A348" t="s">
        <v>593</v>
      </c>
      <c r="B348" t="s">
        <v>693</v>
      </c>
      <c r="C348" t="s">
        <v>694</v>
      </c>
      <c r="D348" t="s">
        <v>9</v>
      </c>
      <c r="E348" s="3">
        <v>6.1935483870967696</v>
      </c>
      <c r="F348" s="3">
        <v>3.9032258064516099</v>
      </c>
      <c r="G348" s="3">
        <v>3.9230769230769265</v>
      </c>
    </row>
    <row r="349" spans="1:7" x14ac:dyDescent="0.25">
      <c r="A349" t="s">
        <v>593</v>
      </c>
      <c r="B349" t="s">
        <v>695</v>
      </c>
      <c r="C349" t="s">
        <v>696</v>
      </c>
      <c r="D349" t="s">
        <v>30</v>
      </c>
      <c r="E349" s="3">
        <v>2.7741935483870948</v>
      </c>
      <c r="F349" s="3">
        <v>3.2903225806451588</v>
      </c>
      <c r="G349" s="3">
        <v>3.6153846153846181</v>
      </c>
    </row>
    <row r="350" spans="1:7" x14ac:dyDescent="0.25">
      <c r="A350" t="s">
        <v>593</v>
      </c>
      <c r="B350" t="s">
        <v>697</v>
      </c>
      <c r="C350" t="s">
        <v>698</v>
      </c>
      <c r="D350" t="s">
        <v>9</v>
      </c>
      <c r="E350" s="3">
        <v>0.54838709677419328</v>
      </c>
      <c r="F350" s="3">
        <v>0.48387096774193528</v>
      </c>
      <c r="G350" s="3">
        <v>0.61538461538461542</v>
      </c>
    </row>
    <row r="351" spans="1:7" x14ac:dyDescent="0.25">
      <c r="A351" t="s">
        <v>593</v>
      </c>
      <c r="B351" t="s">
        <v>699</v>
      </c>
      <c r="C351" t="s">
        <v>700</v>
      </c>
      <c r="D351" t="s">
        <v>9</v>
      </c>
      <c r="E351" s="3">
        <v>1.2903225806451604</v>
      </c>
      <c r="F351" s="3">
        <v>1.0322580645161283</v>
      </c>
      <c r="G351" s="3">
        <v>0.84615384615384603</v>
      </c>
    </row>
    <row r="352" spans="1:7" x14ac:dyDescent="0.25">
      <c r="A352" t="s">
        <v>593</v>
      </c>
      <c r="B352" t="s">
        <v>701</v>
      </c>
      <c r="C352" t="s">
        <v>702</v>
      </c>
      <c r="D352" t="s">
        <v>9</v>
      </c>
      <c r="E352" s="3">
        <v>2.9354838709677398</v>
      </c>
      <c r="F352" s="3">
        <v>3.4838709677419328</v>
      </c>
      <c r="G352" s="3">
        <v>4.3076923076923102</v>
      </c>
    </row>
    <row r="353" spans="1:7" x14ac:dyDescent="0.25">
      <c r="A353" t="s">
        <v>593</v>
      </c>
      <c r="B353" t="s">
        <v>703</v>
      </c>
      <c r="C353" t="s">
        <v>704</v>
      </c>
      <c r="D353" t="s">
        <v>14</v>
      </c>
      <c r="E353" s="3">
        <v>3.4193548387096748</v>
      </c>
      <c r="F353" s="3">
        <v>2.8064516129032238</v>
      </c>
      <c r="G353" s="3">
        <v>2.6153846153846159</v>
      </c>
    </row>
    <row r="354" spans="1:7" x14ac:dyDescent="0.25">
      <c r="A354" t="s">
        <v>593</v>
      </c>
      <c r="B354" t="s">
        <v>705</v>
      </c>
      <c r="C354" t="s">
        <v>706</v>
      </c>
      <c r="D354" t="s">
        <v>9</v>
      </c>
      <c r="E354" s="3">
        <v>24.1935483870969</v>
      </c>
      <c r="F354" s="3">
        <v>28.096774193548143</v>
      </c>
      <c r="G354" s="3">
        <v>24.769230769230699</v>
      </c>
    </row>
    <row r="355" spans="1:7" x14ac:dyDescent="0.25">
      <c r="A355" t="s">
        <v>593</v>
      </c>
      <c r="B355" t="s">
        <v>707</v>
      </c>
      <c r="C355" t="s">
        <v>708</v>
      </c>
      <c r="D355" t="s">
        <v>30</v>
      </c>
      <c r="E355" s="3">
        <v>2.4838709677419337</v>
      </c>
      <c r="F355" s="3">
        <v>2.9354838709677398</v>
      </c>
      <c r="G355" s="3">
        <v>2.0769230769230762</v>
      </c>
    </row>
    <row r="356" spans="1:7" x14ac:dyDescent="0.25">
      <c r="A356" t="s">
        <v>593</v>
      </c>
      <c r="B356" t="s">
        <v>709</v>
      </c>
      <c r="C356" t="s">
        <v>710</v>
      </c>
      <c r="D356" t="s">
        <v>9</v>
      </c>
      <c r="E356" s="3">
        <v>3.0322580645161268</v>
      </c>
      <c r="F356" s="3">
        <v>2.7096774193548367</v>
      </c>
      <c r="G356" s="3">
        <v>2.0769230769230762</v>
      </c>
    </row>
    <row r="357" spans="1:7" x14ac:dyDescent="0.25">
      <c r="A357" t="s">
        <v>593</v>
      </c>
      <c r="B357" t="s">
        <v>711</v>
      </c>
      <c r="C357" t="s">
        <v>712</v>
      </c>
      <c r="D357" t="s">
        <v>9</v>
      </c>
      <c r="E357" s="3">
        <v>5.9999999999999956</v>
      </c>
      <c r="F357" s="3">
        <v>5.9354838709677376</v>
      </c>
      <c r="G357" s="3">
        <v>6.4615384615384563</v>
      </c>
    </row>
    <row r="358" spans="1:7" x14ac:dyDescent="0.25">
      <c r="A358" t="s">
        <v>593</v>
      </c>
      <c r="B358" t="s">
        <v>713</v>
      </c>
      <c r="C358" t="s">
        <v>714</v>
      </c>
      <c r="D358" t="s">
        <v>30</v>
      </c>
      <c r="E358" s="3">
        <v>7.7419354838709618</v>
      </c>
      <c r="F358" s="3">
        <v>7.8387096774193488</v>
      </c>
      <c r="G358" s="3">
        <v>7.4615384615384528</v>
      </c>
    </row>
    <row r="359" spans="1:7" x14ac:dyDescent="0.25">
      <c r="A359" t="s">
        <v>593</v>
      </c>
      <c r="B359" t="s">
        <v>715</v>
      </c>
      <c r="C359" t="s">
        <v>716</v>
      </c>
      <c r="D359" t="s">
        <v>14</v>
      </c>
      <c r="E359" s="3">
        <v>2.3548387096774177</v>
      </c>
      <c r="F359" s="3">
        <v>1.0967741935483863</v>
      </c>
      <c r="G359" s="3">
        <v>0.46153846153846156</v>
      </c>
    </row>
    <row r="360" spans="1:7" x14ac:dyDescent="0.25">
      <c r="A360" t="s">
        <v>593</v>
      </c>
      <c r="B360" t="s">
        <v>717</v>
      </c>
      <c r="C360" t="s">
        <v>718</v>
      </c>
      <c r="D360" t="s">
        <v>14</v>
      </c>
      <c r="E360" s="3">
        <v>3.9999999999999969</v>
      </c>
      <c r="F360" s="3">
        <v>5.3870967741935445</v>
      </c>
      <c r="G360" s="3">
        <v>6.307692307692303</v>
      </c>
    </row>
    <row r="361" spans="1:7" x14ac:dyDescent="0.25">
      <c r="A361" t="s">
        <v>593</v>
      </c>
      <c r="B361" t="s">
        <v>719</v>
      </c>
      <c r="C361" t="s">
        <v>720</v>
      </c>
      <c r="D361" t="s">
        <v>14</v>
      </c>
      <c r="E361" s="3"/>
      <c r="F361" s="3">
        <v>0.74193548387096731</v>
      </c>
      <c r="G361" s="3">
        <v>1.2307692307692304</v>
      </c>
    </row>
    <row r="362" spans="1:7" x14ac:dyDescent="0.25">
      <c r="A362" t="s">
        <v>721</v>
      </c>
      <c r="B362" t="s">
        <v>722</v>
      </c>
      <c r="C362" t="s">
        <v>723</v>
      </c>
      <c r="D362" t="s">
        <v>9</v>
      </c>
      <c r="E362" s="3">
        <v>1.9677419354838694</v>
      </c>
      <c r="F362" s="3">
        <v>1.8387096774193534</v>
      </c>
      <c r="G362" s="3">
        <v>0.69230769230769229</v>
      </c>
    </row>
    <row r="363" spans="1:7" x14ac:dyDescent="0.25">
      <c r="A363" t="s">
        <v>721</v>
      </c>
      <c r="B363" t="s">
        <v>724</v>
      </c>
      <c r="C363" t="s">
        <v>725</v>
      </c>
      <c r="D363" t="s">
        <v>9</v>
      </c>
      <c r="E363" s="3">
        <v>5.2580645161290285</v>
      </c>
      <c r="F363" s="3">
        <v>5.6774193548387055</v>
      </c>
      <c r="G363" s="3">
        <v>5.7692307692307665</v>
      </c>
    </row>
    <row r="364" spans="1:7" x14ac:dyDescent="0.25">
      <c r="A364" t="s">
        <v>721</v>
      </c>
      <c r="B364" t="s">
        <v>726</v>
      </c>
      <c r="C364" t="s">
        <v>727</v>
      </c>
      <c r="D364" t="s">
        <v>14</v>
      </c>
      <c r="E364" s="3">
        <v>8.9677419354838896</v>
      </c>
      <c r="F364" s="3">
        <v>9.161290322580669</v>
      </c>
      <c r="G364" s="3">
        <v>8.8461538461538325</v>
      </c>
    </row>
    <row r="365" spans="1:7" x14ac:dyDescent="0.25">
      <c r="A365" t="s">
        <v>721</v>
      </c>
      <c r="B365" t="s">
        <v>728</v>
      </c>
      <c r="C365" t="s">
        <v>729</v>
      </c>
      <c r="D365" t="s">
        <v>30</v>
      </c>
      <c r="E365" s="3">
        <v>3.4193548387096748</v>
      </c>
      <c r="F365" s="3">
        <v>0.16129032258064516</v>
      </c>
      <c r="G365" s="3"/>
    </row>
    <row r="366" spans="1:7" x14ac:dyDescent="0.25">
      <c r="A366" t="s">
        <v>721</v>
      </c>
      <c r="B366" t="s">
        <v>730</v>
      </c>
      <c r="C366" t="s">
        <v>731</v>
      </c>
      <c r="D366" t="s">
        <v>9</v>
      </c>
      <c r="E366" s="3">
        <v>10.935483870967813</v>
      </c>
      <c r="F366" s="3">
        <v>16.483870967742128</v>
      </c>
      <c r="G366" s="3">
        <v>10.307692307692289</v>
      </c>
    </row>
    <row r="367" spans="1:7" x14ac:dyDescent="0.25">
      <c r="A367" t="s">
        <v>721</v>
      </c>
      <c r="B367" t="s">
        <v>732</v>
      </c>
      <c r="C367" t="s">
        <v>733</v>
      </c>
      <c r="D367" t="s">
        <v>9</v>
      </c>
      <c r="E367" s="3">
        <v>11.774193548387133</v>
      </c>
      <c r="F367" s="3">
        <v>11.83870967741943</v>
      </c>
      <c r="G367" s="3">
        <v>12.384615384615358</v>
      </c>
    </row>
    <row r="368" spans="1:7" x14ac:dyDescent="0.25">
      <c r="A368" t="s">
        <v>721</v>
      </c>
      <c r="B368" t="s">
        <v>734</v>
      </c>
      <c r="C368" t="s">
        <v>735</v>
      </c>
      <c r="D368" t="s">
        <v>30</v>
      </c>
      <c r="E368" s="3">
        <v>3.4516129032258038</v>
      </c>
      <c r="F368" s="3">
        <v>4.7096774193548354</v>
      </c>
      <c r="G368" s="3">
        <v>3.7692307692307723</v>
      </c>
    </row>
    <row r="369" spans="1:7" x14ac:dyDescent="0.25">
      <c r="A369" t="s">
        <v>721</v>
      </c>
      <c r="B369" t="s">
        <v>736</v>
      </c>
      <c r="C369" t="s">
        <v>737</v>
      </c>
      <c r="D369" t="s">
        <v>9</v>
      </c>
      <c r="E369" s="3">
        <v>2.8387096774193528</v>
      </c>
      <c r="F369" s="3">
        <v>3.1612903225806428</v>
      </c>
      <c r="G369" s="3">
        <v>3.2307692307692326</v>
      </c>
    </row>
    <row r="370" spans="1:7" x14ac:dyDescent="0.25">
      <c r="A370" t="s">
        <v>721</v>
      </c>
      <c r="B370" t="s">
        <v>738</v>
      </c>
      <c r="C370" t="s">
        <v>739</v>
      </c>
      <c r="D370" t="s">
        <v>30</v>
      </c>
      <c r="E370" s="3">
        <v>6.1935483870967696</v>
      </c>
      <c r="F370" s="3">
        <v>6.0645161290322536</v>
      </c>
      <c r="G370" s="3">
        <v>7.3076923076922995</v>
      </c>
    </row>
    <row r="371" spans="1:7" x14ac:dyDescent="0.25">
      <c r="A371" t="s">
        <v>721</v>
      </c>
      <c r="B371" t="s">
        <v>740</v>
      </c>
      <c r="C371" t="s">
        <v>741</v>
      </c>
      <c r="D371" t="s">
        <v>14</v>
      </c>
      <c r="E371" s="3">
        <v>0.93548387096774133</v>
      </c>
      <c r="F371" s="3">
        <v>0.83870967741935432</v>
      </c>
      <c r="G371" s="3">
        <v>0.69230769230769229</v>
      </c>
    </row>
    <row r="372" spans="1:7" x14ac:dyDescent="0.25">
      <c r="A372" t="s">
        <v>721</v>
      </c>
      <c r="B372" t="s">
        <v>742</v>
      </c>
      <c r="C372" t="s">
        <v>743</v>
      </c>
      <c r="D372" t="s">
        <v>9</v>
      </c>
      <c r="E372" s="3">
        <v>3.1612903225806428</v>
      </c>
      <c r="F372" s="3">
        <v>2.8064516129032238</v>
      </c>
      <c r="G372" s="3">
        <v>2.3076923076923075</v>
      </c>
    </row>
    <row r="373" spans="1:7" x14ac:dyDescent="0.25">
      <c r="A373" t="s">
        <v>721</v>
      </c>
      <c r="B373" t="s">
        <v>744</v>
      </c>
      <c r="C373" t="s">
        <v>745</v>
      </c>
      <c r="D373" t="s">
        <v>30</v>
      </c>
      <c r="E373" s="3">
        <v>3.9999999999999969</v>
      </c>
      <c r="F373" s="3">
        <v>3.4193548387096748</v>
      </c>
      <c r="G373" s="3">
        <v>2.4615384615384617</v>
      </c>
    </row>
    <row r="374" spans="1:7" x14ac:dyDescent="0.25">
      <c r="A374" t="s">
        <v>721</v>
      </c>
      <c r="B374" t="s">
        <v>746</v>
      </c>
      <c r="C374" t="s">
        <v>747</v>
      </c>
      <c r="D374" t="s">
        <v>9</v>
      </c>
      <c r="E374" s="3">
        <v>1.5483870967741924</v>
      </c>
      <c r="F374" s="3">
        <v>1.7096774193548374</v>
      </c>
      <c r="G374" s="3">
        <v>1.461538461538461</v>
      </c>
    </row>
    <row r="375" spans="1:7" x14ac:dyDescent="0.25">
      <c r="A375" t="s">
        <v>721</v>
      </c>
      <c r="B375" t="s">
        <v>748</v>
      </c>
      <c r="C375" t="s">
        <v>749</v>
      </c>
      <c r="D375" t="s">
        <v>9</v>
      </c>
      <c r="E375" s="3">
        <v>42.903225806451232</v>
      </c>
      <c r="F375" s="3">
        <v>35.774193548386677</v>
      </c>
      <c r="G375" s="3">
        <v>29.384615384615298</v>
      </c>
    </row>
    <row r="376" spans="1:7" x14ac:dyDescent="0.25">
      <c r="A376" t="s">
        <v>721</v>
      </c>
      <c r="B376" t="s">
        <v>750</v>
      </c>
      <c r="C376" t="s">
        <v>751</v>
      </c>
      <c r="D376" t="s">
        <v>30</v>
      </c>
      <c r="E376" s="3">
        <v>0.51612903225806428</v>
      </c>
      <c r="F376" s="3">
        <v>0.64516129032258029</v>
      </c>
      <c r="G376" s="3">
        <v>0.76923076923076916</v>
      </c>
    </row>
    <row r="377" spans="1:7" x14ac:dyDescent="0.25">
      <c r="A377" t="s">
        <v>721</v>
      </c>
      <c r="B377" t="s">
        <v>752</v>
      </c>
      <c r="C377" t="s">
        <v>753</v>
      </c>
      <c r="D377" t="s">
        <v>14</v>
      </c>
      <c r="E377" s="3">
        <v>11.580645161290411</v>
      </c>
      <c r="F377" s="3">
        <v>15.258064516129219</v>
      </c>
      <c r="G377" s="3">
        <v>12.615384615384588</v>
      </c>
    </row>
    <row r="378" spans="1:7" x14ac:dyDescent="0.25">
      <c r="A378" t="s">
        <v>721</v>
      </c>
      <c r="B378" t="s">
        <v>754</v>
      </c>
      <c r="C378" t="s">
        <v>727</v>
      </c>
      <c r="D378" t="s">
        <v>14</v>
      </c>
      <c r="E378" s="3">
        <v>12.096774193548489</v>
      </c>
      <c r="F378" s="3">
        <v>14.161290322580802</v>
      </c>
      <c r="G378" s="3">
        <v>11.923076923076898</v>
      </c>
    </row>
    <row r="379" spans="1:7" x14ac:dyDescent="0.25">
      <c r="A379" t="s">
        <v>721</v>
      </c>
      <c r="B379" t="s">
        <v>755</v>
      </c>
      <c r="C379" t="s">
        <v>756</v>
      </c>
      <c r="D379" t="s">
        <v>9</v>
      </c>
      <c r="E379" s="3">
        <v>3.4193548387096748</v>
      </c>
      <c r="F379" s="3">
        <v>3.2258064516129008</v>
      </c>
      <c r="G379" s="3">
        <v>3.0000000000000013</v>
      </c>
    </row>
    <row r="380" spans="1:7" x14ac:dyDescent="0.25">
      <c r="A380" t="s">
        <v>721</v>
      </c>
      <c r="B380" t="s">
        <v>757</v>
      </c>
      <c r="C380" t="s">
        <v>758</v>
      </c>
      <c r="D380" t="s">
        <v>14</v>
      </c>
      <c r="E380" s="3">
        <v>3.8387096774193519</v>
      </c>
      <c r="F380" s="3">
        <v>4.6451612903225774</v>
      </c>
      <c r="G380" s="3">
        <v>3.6923076923076952</v>
      </c>
    </row>
    <row r="381" spans="1:7" x14ac:dyDescent="0.25">
      <c r="A381" t="s">
        <v>721</v>
      </c>
      <c r="B381" t="s">
        <v>759</v>
      </c>
      <c r="C381" t="s">
        <v>760</v>
      </c>
      <c r="D381" t="s">
        <v>9</v>
      </c>
      <c r="E381" s="3">
        <v>31.741935483870726</v>
      </c>
      <c r="F381" s="3">
        <v>34.419354838709431</v>
      </c>
      <c r="G381" s="3">
        <v>27.999999999999918</v>
      </c>
    </row>
    <row r="382" spans="1:7" x14ac:dyDescent="0.25">
      <c r="A382" t="s">
        <v>721</v>
      </c>
      <c r="B382" t="s">
        <v>761</v>
      </c>
      <c r="C382" t="s">
        <v>762</v>
      </c>
      <c r="D382" t="s">
        <v>9</v>
      </c>
      <c r="E382" s="3">
        <v>1.1612903225806444</v>
      </c>
      <c r="F382" s="3">
        <v>0.80645161290322531</v>
      </c>
      <c r="G382" s="3">
        <v>0.84615384615384603</v>
      </c>
    </row>
    <row r="383" spans="1:7" x14ac:dyDescent="0.25">
      <c r="A383" t="s">
        <v>721</v>
      </c>
      <c r="B383" t="s">
        <v>763</v>
      </c>
      <c r="C383" t="s">
        <v>764</v>
      </c>
      <c r="D383" t="s">
        <v>14</v>
      </c>
      <c r="E383" s="3">
        <v>14.93548387096792</v>
      </c>
      <c r="F383" s="3">
        <v>16.419354838709815</v>
      </c>
      <c r="G383" s="3">
        <v>18.07692307692303</v>
      </c>
    </row>
    <row r="384" spans="1:7" x14ac:dyDescent="0.25">
      <c r="A384" t="s">
        <v>721</v>
      </c>
      <c r="B384" t="s">
        <v>765</v>
      </c>
      <c r="C384" t="s">
        <v>758</v>
      </c>
      <c r="D384" t="s">
        <v>14</v>
      </c>
      <c r="E384" s="3">
        <v>1.1290322580645153</v>
      </c>
      <c r="F384" s="3">
        <v>0.90322580645161232</v>
      </c>
      <c r="G384" s="3">
        <v>0.92307692307692291</v>
      </c>
    </row>
    <row r="385" spans="1:7" x14ac:dyDescent="0.25">
      <c r="A385" t="s">
        <v>721</v>
      </c>
      <c r="B385" t="s">
        <v>766</v>
      </c>
      <c r="C385" t="s">
        <v>767</v>
      </c>
      <c r="D385" t="s">
        <v>14</v>
      </c>
      <c r="E385" s="3">
        <v>40.741935483870655</v>
      </c>
      <c r="F385" s="3">
        <v>44.61290322580588</v>
      </c>
      <c r="G385" s="3">
        <v>38.153846153846317</v>
      </c>
    </row>
    <row r="386" spans="1:7" x14ac:dyDescent="0.25">
      <c r="A386" t="s">
        <v>721</v>
      </c>
      <c r="B386" t="s">
        <v>768</v>
      </c>
      <c r="C386" t="s">
        <v>769</v>
      </c>
      <c r="D386" t="s">
        <v>30</v>
      </c>
      <c r="E386" s="3">
        <v>0.38709677419354827</v>
      </c>
      <c r="F386" s="3">
        <v>0.61290322580645129</v>
      </c>
      <c r="G386" s="3">
        <v>0.38461538461538464</v>
      </c>
    </row>
    <row r="387" spans="1:7" x14ac:dyDescent="0.25">
      <c r="A387" t="s">
        <v>721</v>
      </c>
      <c r="B387" t="s">
        <v>770</v>
      </c>
      <c r="C387" t="s">
        <v>771</v>
      </c>
      <c r="D387" t="s">
        <v>30</v>
      </c>
      <c r="E387" s="3">
        <v>22.774193548387199</v>
      </c>
      <c r="F387" s="3">
        <v>24.064516129032281</v>
      </c>
      <c r="G387" s="3">
        <v>25.230769230769173</v>
      </c>
    </row>
    <row r="388" spans="1:7" x14ac:dyDescent="0.25">
      <c r="A388" t="s">
        <v>721</v>
      </c>
      <c r="B388" t="s">
        <v>772</v>
      </c>
      <c r="C388" t="s">
        <v>773</v>
      </c>
      <c r="D388" t="s">
        <v>30</v>
      </c>
      <c r="E388" s="3">
        <v>6.6129032258064484</v>
      </c>
      <c r="F388" s="3">
        <v>6.2580645161290276</v>
      </c>
      <c r="G388" s="3">
        <v>6.538461538461533</v>
      </c>
    </row>
    <row r="389" spans="1:7" x14ac:dyDescent="0.25">
      <c r="A389" t="s">
        <v>721</v>
      </c>
      <c r="B389" t="s">
        <v>774</v>
      </c>
      <c r="C389" t="s">
        <v>775</v>
      </c>
      <c r="D389" t="s">
        <v>9</v>
      </c>
      <c r="E389" s="3">
        <v>10.451612903225865</v>
      </c>
      <c r="F389" s="3">
        <v>9.9032258064516565</v>
      </c>
      <c r="G389" s="3">
        <v>12.307692307692282</v>
      </c>
    </row>
    <row r="390" spans="1:7" x14ac:dyDescent="0.25">
      <c r="A390" t="s">
        <v>721</v>
      </c>
      <c r="B390" t="s">
        <v>776</v>
      </c>
      <c r="C390" t="s">
        <v>777</v>
      </c>
      <c r="D390" t="s">
        <v>14</v>
      </c>
      <c r="E390" s="3">
        <v>7.7741935483870908</v>
      </c>
      <c r="F390" s="3">
        <v>7.4516129032258007</v>
      </c>
      <c r="G390" s="3">
        <v>5.6153846153846132</v>
      </c>
    </row>
    <row r="391" spans="1:7" x14ac:dyDescent="0.25">
      <c r="A391" t="s">
        <v>721</v>
      </c>
      <c r="B391" t="s">
        <v>778</v>
      </c>
      <c r="C391" t="s">
        <v>779</v>
      </c>
      <c r="D391" t="s">
        <v>30</v>
      </c>
      <c r="E391" s="3">
        <v>1.5161290322580634</v>
      </c>
      <c r="F391" s="3">
        <v>1.1612903225806444</v>
      </c>
      <c r="G391" s="3">
        <v>1.9230769230769222</v>
      </c>
    </row>
    <row r="392" spans="1:7" x14ac:dyDescent="0.25">
      <c r="A392" t="s">
        <v>721</v>
      </c>
      <c r="B392" t="s">
        <v>780</v>
      </c>
      <c r="C392" t="s">
        <v>781</v>
      </c>
      <c r="D392" t="s">
        <v>14</v>
      </c>
      <c r="E392" s="3">
        <v>4.4838709677419324</v>
      </c>
      <c r="F392" s="3">
        <v>3.7096774193548359</v>
      </c>
      <c r="G392" s="3">
        <v>4.2307692307692335</v>
      </c>
    </row>
    <row r="393" spans="1:7" x14ac:dyDescent="0.25">
      <c r="A393" t="s">
        <v>721</v>
      </c>
      <c r="B393" t="s">
        <v>782</v>
      </c>
      <c r="C393" t="s">
        <v>783</v>
      </c>
      <c r="D393" t="s">
        <v>30</v>
      </c>
      <c r="E393" s="3">
        <v>7.0967741935483817</v>
      </c>
      <c r="F393" s="3">
        <v>7.7096774193548328</v>
      </c>
      <c r="G393" s="3">
        <v>6.8461538461538396</v>
      </c>
    </row>
    <row r="394" spans="1:7" x14ac:dyDescent="0.25">
      <c r="A394" t="s">
        <v>721</v>
      </c>
      <c r="B394" t="s">
        <v>784</v>
      </c>
      <c r="C394" t="s">
        <v>785</v>
      </c>
      <c r="D394" t="s">
        <v>9</v>
      </c>
      <c r="E394" s="3">
        <v>17.096774193548562</v>
      </c>
      <c r="F394" s="3">
        <v>10.516129032258124</v>
      </c>
      <c r="G394" s="3">
        <v>26.461538461538385</v>
      </c>
    </row>
    <row r="395" spans="1:7" x14ac:dyDescent="0.25">
      <c r="A395" t="s">
        <v>721</v>
      </c>
      <c r="B395" t="s">
        <v>786</v>
      </c>
      <c r="C395" t="s">
        <v>787</v>
      </c>
      <c r="D395" t="s">
        <v>9</v>
      </c>
      <c r="E395" s="3">
        <v>18.258064516129174</v>
      </c>
      <c r="F395" s="3">
        <v>20.161290322580651</v>
      </c>
      <c r="G395" s="3">
        <v>18.461538461538414</v>
      </c>
    </row>
    <row r="396" spans="1:7" x14ac:dyDescent="0.25">
      <c r="A396" t="s">
        <v>721</v>
      </c>
      <c r="B396" t="s">
        <v>788</v>
      </c>
      <c r="C396" t="s">
        <v>789</v>
      </c>
      <c r="D396" t="s">
        <v>14</v>
      </c>
      <c r="E396" s="3">
        <v>0.80645161290322531</v>
      </c>
      <c r="F396" s="3">
        <v>0.64516129032258029</v>
      </c>
      <c r="G396" s="3">
        <v>0.84615384615384603</v>
      </c>
    </row>
    <row r="397" spans="1:7" x14ac:dyDescent="0.25">
      <c r="A397" t="s">
        <v>721</v>
      </c>
      <c r="B397" t="s">
        <v>790</v>
      </c>
      <c r="C397" t="s">
        <v>791</v>
      </c>
      <c r="D397" t="s">
        <v>30</v>
      </c>
      <c r="E397" s="3">
        <v>1.0645161290322573</v>
      </c>
      <c r="F397" s="3">
        <v>0.93548387096774133</v>
      </c>
      <c r="G397" s="3">
        <v>0.99999999999999978</v>
      </c>
    </row>
    <row r="398" spans="1:7" x14ac:dyDescent="0.25">
      <c r="A398" t="s">
        <v>721</v>
      </c>
      <c r="B398" t="s">
        <v>792</v>
      </c>
      <c r="C398" t="s">
        <v>793</v>
      </c>
      <c r="D398" t="s">
        <v>30</v>
      </c>
      <c r="E398" s="3">
        <v>15.677419354838809</v>
      </c>
      <c r="F398" s="3">
        <v>14.903225806451692</v>
      </c>
      <c r="G398" s="3">
        <v>15.846153846153808</v>
      </c>
    </row>
    <row r="399" spans="1:7" x14ac:dyDescent="0.25">
      <c r="A399" t="s">
        <v>721</v>
      </c>
      <c r="B399" t="s">
        <v>794</v>
      </c>
      <c r="C399" t="s">
        <v>795</v>
      </c>
      <c r="D399" t="s">
        <v>30</v>
      </c>
      <c r="E399" s="3">
        <v>2.1290322580645147</v>
      </c>
      <c r="F399" s="3">
        <v>2.0645161290322567</v>
      </c>
      <c r="G399" s="3">
        <v>1.5384615384615379</v>
      </c>
    </row>
    <row r="400" spans="1:7" x14ac:dyDescent="0.25">
      <c r="A400" t="s">
        <v>721</v>
      </c>
      <c r="B400" t="s">
        <v>796</v>
      </c>
      <c r="C400" t="s">
        <v>797</v>
      </c>
      <c r="D400" t="s">
        <v>30</v>
      </c>
      <c r="E400" s="3">
        <v>14.677419354838868</v>
      </c>
      <c r="F400" s="3">
        <v>18.096774193548505</v>
      </c>
      <c r="G400" s="3">
        <v>18.30769230769226</v>
      </c>
    </row>
    <row r="401" spans="1:7" x14ac:dyDescent="0.25">
      <c r="A401" t="s">
        <v>721</v>
      </c>
      <c r="B401" t="s">
        <v>798</v>
      </c>
      <c r="C401" t="s">
        <v>799</v>
      </c>
      <c r="D401" t="s">
        <v>9</v>
      </c>
      <c r="E401" s="3">
        <v>2.8064516129032238</v>
      </c>
      <c r="F401" s="3">
        <v>4.2258064516129004</v>
      </c>
      <c r="G401" s="3">
        <v>3.6923076923076952</v>
      </c>
    </row>
    <row r="402" spans="1:7" x14ac:dyDescent="0.25">
      <c r="A402" t="s">
        <v>721</v>
      </c>
      <c r="B402" t="s">
        <v>800</v>
      </c>
      <c r="C402" t="s">
        <v>801</v>
      </c>
      <c r="D402" t="s">
        <v>9</v>
      </c>
      <c r="E402" s="3">
        <v>2.0967741935483857</v>
      </c>
      <c r="F402" s="3">
        <v>2.0645161290322567</v>
      </c>
      <c r="G402" s="3">
        <v>2.4615384615384617</v>
      </c>
    </row>
    <row r="403" spans="1:7" x14ac:dyDescent="0.25">
      <c r="A403" t="s">
        <v>721</v>
      </c>
      <c r="B403" t="s">
        <v>802</v>
      </c>
      <c r="C403" t="s">
        <v>803</v>
      </c>
      <c r="D403" t="s">
        <v>30</v>
      </c>
      <c r="E403" s="3">
        <v>1.5161290322580634</v>
      </c>
      <c r="F403" s="3">
        <v>1.7741935483870954</v>
      </c>
      <c r="G403" s="3">
        <v>2.5384615384615388</v>
      </c>
    </row>
    <row r="404" spans="1:7" x14ac:dyDescent="0.25">
      <c r="A404" t="s">
        <v>721</v>
      </c>
      <c r="B404" t="s">
        <v>804</v>
      </c>
      <c r="C404" t="s">
        <v>805</v>
      </c>
      <c r="D404" t="s">
        <v>30</v>
      </c>
      <c r="E404" s="3">
        <v>2.6774193548387077</v>
      </c>
      <c r="F404" s="3">
        <v>2.5806451612903207</v>
      </c>
      <c r="G404" s="3">
        <v>2.2307692307692304</v>
      </c>
    </row>
    <row r="405" spans="1:7" x14ac:dyDescent="0.25">
      <c r="A405" t="s">
        <v>721</v>
      </c>
      <c r="B405" t="s">
        <v>806</v>
      </c>
      <c r="C405" t="s">
        <v>807</v>
      </c>
      <c r="D405" t="s">
        <v>9</v>
      </c>
      <c r="E405" s="3">
        <v>3.4838709677419328</v>
      </c>
      <c r="F405" s="3">
        <v>0.83870967741935432</v>
      </c>
      <c r="G405" s="3">
        <v>0.53846153846153855</v>
      </c>
    </row>
    <row r="406" spans="1:7" x14ac:dyDescent="0.25">
      <c r="A406" t="s">
        <v>721</v>
      </c>
      <c r="B406" t="s">
        <v>808</v>
      </c>
      <c r="C406" t="s">
        <v>809</v>
      </c>
      <c r="D406" t="s">
        <v>30</v>
      </c>
      <c r="E406" s="3">
        <v>38.999999999999552</v>
      </c>
      <c r="F406" s="3">
        <v>31.387096774193317</v>
      </c>
      <c r="G406" s="3">
        <v>22.384615384615323</v>
      </c>
    </row>
    <row r="407" spans="1:7" x14ac:dyDescent="0.25">
      <c r="A407" t="s">
        <v>721</v>
      </c>
      <c r="B407" t="s">
        <v>810</v>
      </c>
      <c r="C407" t="s">
        <v>811</v>
      </c>
      <c r="D407" t="s">
        <v>9</v>
      </c>
      <c r="E407" s="3">
        <v>6.8064516129032206</v>
      </c>
      <c r="F407" s="3">
        <v>5.9032258064516085</v>
      </c>
      <c r="G407" s="3">
        <v>5.1538461538461533</v>
      </c>
    </row>
    <row r="408" spans="1:7" x14ac:dyDescent="0.25">
      <c r="A408" t="s">
        <v>721</v>
      </c>
      <c r="B408" t="s">
        <v>812</v>
      </c>
      <c r="C408" t="s">
        <v>813</v>
      </c>
      <c r="D408" t="s">
        <v>14</v>
      </c>
      <c r="E408" s="3">
        <v>9.8064516129032668</v>
      </c>
      <c r="F408" s="3">
        <v>11.064516129032333</v>
      </c>
      <c r="G408" s="3">
        <v>9.615384615384599</v>
      </c>
    </row>
    <row r="409" spans="1:7" x14ac:dyDescent="0.25">
      <c r="A409" t="s">
        <v>721</v>
      </c>
      <c r="B409" t="s">
        <v>814</v>
      </c>
      <c r="C409" t="s">
        <v>815</v>
      </c>
      <c r="D409" t="s">
        <v>9</v>
      </c>
      <c r="E409" s="3">
        <v>5.8387096774193505</v>
      </c>
      <c r="F409" s="3">
        <v>4.7096774193548354</v>
      </c>
      <c r="G409" s="3">
        <v>2.7692307692307701</v>
      </c>
    </row>
    <row r="410" spans="1:7" x14ac:dyDescent="0.25">
      <c r="A410" t="s">
        <v>721</v>
      </c>
      <c r="B410" t="s">
        <v>816</v>
      </c>
      <c r="C410" t="s">
        <v>817</v>
      </c>
      <c r="D410" t="s">
        <v>30</v>
      </c>
      <c r="E410" s="3">
        <v>5.4838709677419315</v>
      </c>
      <c r="F410" s="3">
        <v>4.6451612903225774</v>
      </c>
      <c r="G410" s="3">
        <v>4.6923076923076934</v>
      </c>
    </row>
    <row r="411" spans="1:7" x14ac:dyDescent="0.25">
      <c r="A411" t="s">
        <v>721</v>
      </c>
      <c r="B411" t="s">
        <v>818</v>
      </c>
      <c r="C411" t="s">
        <v>819</v>
      </c>
      <c r="D411" t="s">
        <v>9</v>
      </c>
      <c r="E411" s="3">
        <v>52.903225806450919</v>
      </c>
      <c r="F411" s="3">
        <v>50.99999999999924</v>
      </c>
      <c r="G411" s="3">
        <v>29.923076923076835</v>
      </c>
    </row>
    <row r="412" spans="1:7" x14ac:dyDescent="0.25">
      <c r="A412" t="s">
        <v>721</v>
      </c>
      <c r="B412" t="s">
        <v>820</v>
      </c>
      <c r="C412" t="s">
        <v>821</v>
      </c>
      <c r="D412" t="s">
        <v>9</v>
      </c>
      <c r="E412" s="3">
        <v>12.806451612903253</v>
      </c>
      <c r="F412" s="3">
        <v>12.677419354838829</v>
      </c>
      <c r="G412" s="3">
        <v>13.153846153846125</v>
      </c>
    </row>
    <row r="413" spans="1:7" x14ac:dyDescent="0.25">
      <c r="A413" t="s">
        <v>721</v>
      </c>
      <c r="B413" t="s">
        <v>822</v>
      </c>
      <c r="C413" t="s">
        <v>823</v>
      </c>
      <c r="D413" t="s">
        <v>9</v>
      </c>
      <c r="E413" s="3">
        <v>3.4193548387096748</v>
      </c>
      <c r="F413" s="3">
        <v>2.6129032258064497</v>
      </c>
      <c r="G413" s="3">
        <v>3.2307692307692326</v>
      </c>
    </row>
    <row r="414" spans="1:7" x14ac:dyDescent="0.25">
      <c r="A414" t="s">
        <v>721</v>
      </c>
      <c r="B414" t="s">
        <v>824</v>
      </c>
      <c r="C414" t="s">
        <v>825</v>
      </c>
      <c r="D414" t="s">
        <v>9</v>
      </c>
      <c r="E414" s="3">
        <v>1.2903225806451604</v>
      </c>
      <c r="F414" s="3">
        <v>0.64516129032258029</v>
      </c>
      <c r="G414" s="3">
        <v>1.6153846153846148</v>
      </c>
    </row>
    <row r="415" spans="1:7" x14ac:dyDescent="0.25">
      <c r="A415" t="s">
        <v>721</v>
      </c>
      <c r="B415" t="s">
        <v>826</v>
      </c>
      <c r="C415" t="s">
        <v>827</v>
      </c>
      <c r="D415" t="s">
        <v>30</v>
      </c>
      <c r="E415" s="3">
        <v>4.9354838709677384</v>
      </c>
      <c r="F415" s="3">
        <v>5.6774193548387055</v>
      </c>
      <c r="G415" s="3">
        <v>5.5384615384615365</v>
      </c>
    </row>
    <row r="416" spans="1:7" x14ac:dyDescent="0.25">
      <c r="A416" t="s">
        <v>721</v>
      </c>
      <c r="B416" t="s">
        <v>828</v>
      </c>
      <c r="C416" t="s">
        <v>829</v>
      </c>
      <c r="D416" t="s">
        <v>9</v>
      </c>
      <c r="E416" s="3">
        <v>1.1612903225806444</v>
      </c>
      <c r="F416" s="3">
        <v>0.77419354838709631</v>
      </c>
      <c r="G416" s="3">
        <v>1.1538461538461535</v>
      </c>
    </row>
    <row r="417" spans="1:7" x14ac:dyDescent="0.25">
      <c r="A417" t="s">
        <v>721</v>
      </c>
      <c r="B417" t="s">
        <v>830</v>
      </c>
      <c r="C417" t="s">
        <v>831</v>
      </c>
      <c r="D417" t="s">
        <v>9</v>
      </c>
      <c r="E417" s="3">
        <v>3.8064516129032229</v>
      </c>
      <c r="F417" s="3">
        <v>5.2580645161290285</v>
      </c>
      <c r="G417" s="3">
        <v>4.8461538461538467</v>
      </c>
    </row>
    <row r="418" spans="1:7" x14ac:dyDescent="0.25">
      <c r="A418" t="s">
        <v>721</v>
      </c>
      <c r="B418" t="s">
        <v>832</v>
      </c>
      <c r="C418" t="s">
        <v>833</v>
      </c>
      <c r="D418" t="s">
        <v>14</v>
      </c>
      <c r="E418" s="3">
        <v>77.774193548385995</v>
      </c>
      <c r="F418" s="3">
        <v>72.741935483870421</v>
      </c>
      <c r="G418" s="3">
        <v>72.230769230770846</v>
      </c>
    </row>
    <row r="419" spans="1:7" x14ac:dyDescent="0.25">
      <c r="A419" t="s">
        <v>721</v>
      </c>
      <c r="B419" t="s">
        <v>834</v>
      </c>
      <c r="C419" t="s">
        <v>835</v>
      </c>
      <c r="D419" t="s">
        <v>30</v>
      </c>
      <c r="E419" s="3">
        <v>8.3548387096774217</v>
      </c>
      <c r="F419" s="3">
        <v>8.8064516129032402</v>
      </c>
      <c r="G419" s="3">
        <v>8.076923076923066</v>
      </c>
    </row>
    <row r="420" spans="1:7" x14ac:dyDescent="0.25">
      <c r="A420" t="s">
        <v>721</v>
      </c>
      <c r="B420" t="s">
        <v>836</v>
      </c>
      <c r="C420" t="s">
        <v>837</v>
      </c>
      <c r="D420" t="s">
        <v>9</v>
      </c>
      <c r="E420" s="3">
        <v>10.967741935483943</v>
      </c>
      <c r="F420" s="3">
        <v>11.548387096774281</v>
      </c>
      <c r="G420" s="3">
        <v>10.230769230769212</v>
      </c>
    </row>
    <row r="421" spans="1:7" x14ac:dyDescent="0.25">
      <c r="A421" t="s">
        <v>721</v>
      </c>
      <c r="B421" t="s">
        <v>838</v>
      </c>
      <c r="C421" t="s">
        <v>839</v>
      </c>
      <c r="D421" t="s">
        <v>9</v>
      </c>
      <c r="E421" s="3">
        <v>5.7419354838709635</v>
      </c>
      <c r="F421" s="3">
        <v>5.2258064516128995</v>
      </c>
      <c r="G421" s="3">
        <v>5.8461538461538431</v>
      </c>
    </row>
    <row r="422" spans="1:7" x14ac:dyDescent="0.25">
      <c r="A422" t="s">
        <v>721</v>
      </c>
      <c r="B422" t="s">
        <v>840</v>
      </c>
      <c r="C422" t="s">
        <v>841</v>
      </c>
      <c r="D422" t="s">
        <v>14</v>
      </c>
      <c r="E422" s="3">
        <v>9.8709677419355266</v>
      </c>
      <c r="F422" s="3">
        <v>10.096774193548436</v>
      </c>
      <c r="G422" s="3">
        <v>11.769230769230745</v>
      </c>
    </row>
    <row r="423" spans="1:7" x14ac:dyDescent="0.25">
      <c r="A423" t="s">
        <v>721</v>
      </c>
      <c r="B423" t="s">
        <v>842</v>
      </c>
      <c r="C423" t="s">
        <v>841</v>
      </c>
      <c r="D423" t="s">
        <v>14</v>
      </c>
      <c r="E423" s="3">
        <v>5.0967741935483835</v>
      </c>
      <c r="F423" s="3">
        <v>4.9677419354838674</v>
      </c>
      <c r="G423" s="3">
        <v>5.0769230769230766</v>
      </c>
    </row>
    <row r="424" spans="1:7" x14ac:dyDescent="0.25">
      <c r="A424" t="s">
        <v>721</v>
      </c>
      <c r="B424" t="s">
        <v>843</v>
      </c>
      <c r="C424" t="s">
        <v>844</v>
      </c>
      <c r="D424" t="s">
        <v>30</v>
      </c>
      <c r="E424" s="3">
        <v>7.4516129032258007</v>
      </c>
      <c r="F424" s="3">
        <v>6.2903225806451566</v>
      </c>
      <c r="G424" s="3">
        <v>5.9999999999999964</v>
      </c>
    </row>
    <row r="425" spans="1:7" x14ac:dyDescent="0.25">
      <c r="A425" t="s">
        <v>721</v>
      </c>
      <c r="B425" t="s">
        <v>845</v>
      </c>
      <c r="C425" t="s">
        <v>841</v>
      </c>
      <c r="D425" t="s">
        <v>14</v>
      </c>
      <c r="E425" s="3">
        <v>0.22580645161290322</v>
      </c>
      <c r="F425" s="3">
        <v>0.38709677419354827</v>
      </c>
      <c r="G425" s="3">
        <v>0.38461538461538464</v>
      </c>
    </row>
    <row r="426" spans="1:7" x14ac:dyDescent="0.25">
      <c r="A426" t="s">
        <v>721</v>
      </c>
      <c r="B426" t="s">
        <v>846</v>
      </c>
      <c r="C426" t="s">
        <v>847</v>
      </c>
      <c r="D426" t="s">
        <v>14</v>
      </c>
      <c r="E426" s="3">
        <v>5.7741935483870925</v>
      </c>
      <c r="F426" s="3">
        <v>4.9032258064516094</v>
      </c>
      <c r="G426" s="3">
        <v>4.6923076923076934</v>
      </c>
    </row>
    <row r="427" spans="1:7" x14ac:dyDescent="0.25">
      <c r="A427" t="s">
        <v>721</v>
      </c>
      <c r="B427" t="s">
        <v>848</v>
      </c>
      <c r="C427" t="s">
        <v>849</v>
      </c>
      <c r="D427" t="s">
        <v>9</v>
      </c>
      <c r="E427" s="3">
        <v>2.0645161290322567</v>
      </c>
      <c r="F427" s="3">
        <v>1.9032258064516114</v>
      </c>
      <c r="G427" s="3">
        <v>1.6153846153846148</v>
      </c>
    </row>
    <row r="428" spans="1:7" x14ac:dyDescent="0.25">
      <c r="A428" t="s">
        <v>721</v>
      </c>
      <c r="B428" t="s">
        <v>850</v>
      </c>
      <c r="C428" t="s">
        <v>851</v>
      </c>
      <c r="D428" t="s">
        <v>14</v>
      </c>
      <c r="E428" s="3">
        <v>1.9677419354838694</v>
      </c>
      <c r="F428" s="3">
        <v>1.9032258064516114</v>
      </c>
      <c r="G428" s="3">
        <v>1.9230769230769222</v>
      </c>
    </row>
    <row r="429" spans="1:7" x14ac:dyDescent="0.25">
      <c r="A429" t="s">
        <v>721</v>
      </c>
      <c r="B429" t="s">
        <v>852</v>
      </c>
      <c r="C429" t="s">
        <v>853</v>
      </c>
      <c r="D429" t="s">
        <v>30</v>
      </c>
      <c r="E429" s="3">
        <v>0.99999999999999933</v>
      </c>
      <c r="F429" s="3">
        <v>0.74193548387096731</v>
      </c>
      <c r="G429" s="3">
        <v>0.76923076923076916</v>
      </c>
    </row>
    <row r="430" spans="1:7" x14ac:dyDescent="0.25">
      <c r="A430" t="s">
        <v>721</v>
      </c>
      <c r="B430" t="s">
        <v>854</v>
      </c>
      <c r="C430" t="s">
        <v>855</v>
      </c>
      <c r="D430" t="s">
        <v>30</v>
      </c>
      <c r="E430" s="3">
        <v>3.0645161290322558</v>
      </c>
      <c r="F430" s="3">
        <v>2.9354838709677398</v>
      </c>
      <c r="G430" s="3">
        <v>2.8461538461538471</v>
      </c>
    </row>
    <row r="431" spans="1:7" x14ac:dyDescent="0.25">
      <c r="A431" t="s">
        <v>721</v>
      </c>
      <c r="B431" t="s">
        <v>856</v>
      </c>
      <c r="C431" t="s">
        <v>857</v>
      </c>
      <c r="D431" t="s">
        <v>14</v>
      </c>
      <c r="E431" s="3">
        <v>3.5161290322580618</v>
      </c>
      <c r="F431" s="3">
        <v>2.8709677419354818</v>
      </c>
      <c r="G431" s="3">
        <v>1.9999999999999991</v>
      </c>
    </row>
    <row r="432" spans="1:7" x14ac:dyDescent="0.25">
      <c r="A432" t="s">
        <v>721</v>
      </c>
      <c r="B432" t="s">
        <v>858</v>
      </c>
      <c r="C432" t="s">
        <v>859</v>
      </c>
      <c r="D432" t="s">
        <v>9</v>
      </c>
      <c r="E432" s="3">
        <v>2.7741935483870948</v>
      </c>
      <c r="F432" s="3">
        <v>3.0645161290322558</v>
      </c>
      <c r="G432" s="3">
        <v>3.6923076923076952</v>
      </c>
    </row>
    <row r="433" spans="1:7" x14ac:dyDescent="0.25">
      <c r="A433" t="s">
        <v>721</v>
      </c>
      <c r="B433" t="s">
        <v>860</v>
      </c>
      <c r="C433" t="s">
        <v>861</v>
      </c>
      <c r="D433" t="s">
        <v>9</v>
      </c>
      <c r="E433" s="3">
        <v>3.3225806451612878</v>
      </c>
      <c r="F433" s="3">
        <v>3.5161290322580618</v>
      </c>
      <c r="G433" s="3">
        <v>4.3076923076923102</v>
      </c>
    </row>
    <row r="434" spans="1:7" x14ac:dyDescent="0.25">
      <c r="A434" t="s">
        <v>721</v>
      </c>
      <c r="B434" t="s">
        <v>862</v>
      </c>
      <c r="C434" t="s">
        <v>863</v>
      </c>
      <c r="D434" t="s">
        <v>9</v>
      </c>
      <c r="E434" s="3">
        <v>13.064516129032386</v>
      </c>
      <c r="F434" s="3">
        <v>11.74193548387106</v>
      </c>
      <c r="G434" s="3">
        <v>11.538461538461515</v>
      </c>
    </row>
    <row r="435" spans="1:7" x14ac:dyDescent="0.25">
      <c r="A435" t="s">
        <v>721</v>
      </c>
      <c r="B435" t="s">
        <v>864</v>
      </c>
      <c r="C435" t="s">
        <v>865</v>
      </c>
      <c r="D435" t="s">
        <v>9</v>
      </c>
      <c r="E435" s="3">
        <v>2.7419354838709658</v>
      </c>
      <c r="F435" s="3">
        <v>2.4193548387096757</v>
      </c>
      <c r="G435" s="3">
        <v>2.1538461538461533</v>
      </c>
    </row>
    <row r="436" spans="1:7" x14ac:dyDescent="0.25">
      <c r="A436" t="s">
        <v>721</v>
      </c>
      <c r="B436" t="s">
        <v>866</v>
      </c>
      <c r="C436" t="s">
        <v>867</v>
      </c>
      <c r="D436" t="s">
        <v>9</v>
      </c>
      <c r="E436" s="3">
        <v>2.6129032258064497</v>
      </c>
      <c r="F436" s="3">
        <v>2.8064516129032238</v>
      </c>
      <c r="G436" s="3">
        <v>1.3076923076923073</v>
      </c>
    </row>
    <row r="437" spans="1:7" x14ac:dyDescent="0.25">
      <c r="A437" t="s">
        <v>721</v>
      </c>
      <c r="B437" t="s">
        <v>868</v>
      </c>
      <c r="C437" t="s">
        <v>869</v>
      </c>
      <c r="D437" t="s">
        <v>9</v>
      </c>
      <c r="E437" s="3">
        <v>3.7096774193548359</v>
      </c>
      <c r="F437" s="3">
        <v>5.5161290322580605</v>
      </c>
      <c r="G437" s="3">
        <v>3.6923076923076952</v>
      </c>
    </row>
    <row r="438" spans="1:7" x14ac:dyDescent="0.25">
      <c r="A438" t="s">
        <v>721</v>
      </c>
      <c r="B438" t="s">
        <v>870</v>
      </c>
      <c r="C438" t="s">
        <v>871</v>
      </c>
      <c r="D438" t="s">
        <v>9</v>
      </c>
      <c r="E438" s="3">
        <v>2.9354838709677398</v>
      </c>
      <c r="F438" s="3">
        <v>3.4516129032258038</v>
      </c>
      <c r="G438" s="3">
        <v>2.5384615384615388</v>
      </c>
    </row>
    <row r="439" spans="1:7" x14ac:dyDescent="0.25">
      <c r="A439" t="s">
        <v>721</v>
      </c>
      <c r="B439" t="s">
        <v>872</v>
      </c>
      <c r="C439" t="s">
        <v>873</v>
      </c>
      <c r="D439" t="s">
        <v>14</v>
      </c>
      <c r="E439" s="3">
        <v>1.6129032258064504</v>
      </c>
      <c r="F439" s="3">
        <v>1.6129032258064504</v>
      </c>
      <c r="G439" s="3">
        <v>1.3076923076923073</v>
      </c>
    </row>
    <row r="440" spans="1:7" x14ac:dyDescent="0.25">
      <c r="A440" t="s">
        <v>721</v>
      </c>
      <c r="B440" t="s">
        <v>874</v>
      </c>
      <c r="C440" t="s">
        <v>875</v>
      </c>
      <c r="D440" t="s">
        <v>14</v>
      </c>
      <c r="E440" s="3">
        <v>3.1612903225806428</v>
      </c>
      <c r="F440" s="3">
        <v>2.4838709677419337</v>
      </c>
      <c r="G440" s="3">
        <v>2.9230769230769242</v>
      </c>
    </row>
    <row r="441" spans="1:7" x14ac:dyDescent="0.25">
      <c r="A441" t="s">
        <v>721</v>
      </c>
      <c r="B441" t="s">
        <v>876</v>
      </c>
      <c r="C441" t="s">
        <v>877</v>
      </c>
      <c r="D441" t="s">
        <v>14</v>
      </c>
      <c r="E441" s="3">
        <v>3.0322580645161268</v>
      </c>
      <c r="F441" s="3">
        <v>2.9677419354838688</v>
      </c>
      <c r="G441" s="3">
        <v>2.8461538461538471</v>
      </c>
    </row>
    <row r="442" spans="1:7" x14ac:dyDescent="0.25">
      <c r="A442" t="s">
        <v>721</v>
      </c>
      <c r="B442" t="s">
        <v>878</v>
      </c>
      <c r="C442" t="s">
        <v>879</v>
      </c>
      <c r="D442" t="s">
        <v>14</v>
      </c>
      <c r="E442" s="3">
        <v>3.5806451612903198</v>
      </c>
      <c r="F442" s="3">
        <v>3.2580645161290298</v>
      </c>
      <c r="G442" s="3">
        <v>3.6153846153846181</v>
      </c>
    </row>
    <row r="443" spans="1:7" x14ac:dyDescent="0.25">
      <c r="A443" t="s">
        <v>721</v>
      </c>
      <c r="B443" t="s">
        <v>880</v>
      </c>
      <c r="C443" t="s">
        <v>881</v>
      </c>
      <c r="D443" t="s">
        <v>14</v>
      </c>
      <c r="E443" s="3">
        <v>1.4838709677419344</v>
      </c>
      <c r="F443" s="3">
        <v>1.7096774193548374</v>
      </c>
      <c r="G443" s="3">
        <v>1.9999999999999991</v>
      </c>
    </row>
    <row r="444" spans="1:7" x14ac:dyDescent="0.25">
      <c r="A444" t="s">
        <v>721</v>
      </c>
      <c r="B444" t="s">
        <v>882</v>
      </c>
      <c r="C444" t="s">
        <v>883</v>
      </c>
      <c r="D444" t="s">
        <v>14</v>
      </c>
      <c r="E444" s="3">
        <v>1.5806451612903214</v>
      </c>
      <c r="F444" s="3">
        <v>1.1935483870967734</v>
      </c>
      <c r="G444" s="3">
        <v>1.5384615384615379</v>
      </c>
    </row>
    <row r="445" spans="1:7" x14ac:dyDescent="0.25">
      <c r="A445" t="s">
        <v>721</v>
      </c>
      <c r="B445" t="s">
        <v>884</v>
      </c>
      <c r="C445" t="s">
        <v>885</v>
      </c>
      <c r="D445" t="s">
        <v>14</v>
      </c>
      <c r="E445" s="3">
        <v>4.1290322580645133</v>
      </c>
      <c r="F445" s="3">
        <v>4.4838709677419324</v>
      </c>
      <c r="G445" s="3">
        <v>4.6923076923076934</v>
      </c>
    </row>
    <row r="446" spans="1:7" x14ac:dyDescent="0.25">
      <c r="A446" t="s">
        <v>721</v>
      </c>
      <c r="B446" t="s">
        <v>886</v>
      </c>
      <c r="C446" t="s">
        <v>887</v>
      </c>
      <c r="D446" t="s">
        <v>14</v>
      </c>
      <c r="E446" s="3">
        <v>7.6451612903225747</v>
      </c>
      <c r="F446" s="3">
        <v>6.5806451612903176</v>
      </c>
      <c r="G446" s="3">
        <v>7.0769230769230695</v>
      </c>
    </row>
    <row r="447" spans="1:7" x14ac:dyDescent="0.25">
      <c r="A447" t="s">
        <v>721</v>
      </c>
      <c r="B447" t="s">
        <v>888</v>
      </c>
      <c r="C447" t="s">
        <v>889</v>
      </c>
      <c r="D447" t="s">
        <v>14</v>
      </c>
      <c r="E447" s="3">
        <v>1.0645161290322573</v>
      </c>
      <c r="F447" s="3">
        <v>0.90322580645161232</v>
      </c>
      <c r="G447" s="3">
        <v>1.461538461538461</v>
      </c>
    </row>
    <row r="448" spans="1:7" x14ac:dyDescent="0.25">
      <c r="A448" t="s">
        <v>721</v>
      </c>
      <c r="B448" t="s">
        <v>890</v>
      </c>
      <c r="C448" t="s">
        <v>891</v>
      </c>
      <c r="D448" t="s">
        <v>14</v>
      </c>
      <c r="E448" s="3">
        <v>7.3870967741935427</v>
      </c>
      <c r="F448" s="3">
        <v>7.2903225806451557</v>
      </c>
      <c r="G448" s="3">
        <v>3.8461538461538494</v>
      </c>
    </row>
    <row r="449" spans="1:7" x14ac:dyDescent="0.25">
      <c r="A449" t="s">
        <v>721</v>
      </c>
      <c r="B449" t="s">
        <v>892</v>
      </c>
      <c r="C449" t="s">
        <v>893</v>
      </c>
      <c r="D449" t="s">
        <v>14</v>
      </c>
      <c r="E449" s="3">
        <v>2.9999999999999978</v>
      </c>
      <c r="F449" s="3">
        <v>3.2903225806451588</v>
      </c>
      <c r="G449" s="3">
        <v>3.8461538461538494</v>
      </c>
    </row>
    <row r="450" spans="1:7" x14ac:dyDescent="0.25">
      <c r="A450" t="s">
        <v>721</v>
      </c>
      <c r="B450" t="s">
        <v>894</v>
      </c>
      <c r="C450" t="s">
        <v>895</v>
      </c>
      <c r="D450" t="s">
        <v>9</v>
      </c>
      <c r="E450" s="3">
        <v>2.0967741935483857</v>
      </c>
      <c r="F450" s="3">
        <v>1.8064516129032244</v>
      </c>
      <c r="G450" s="3">
        <v>1.6153846153846148</v>
      </c>
    </row>
    <row r="451" spans="1:7" x14ac:dyDescent="0.25">
      <c r="A451" t="s">
        <v>721</v>
      </c>
      <c r="B451" t="s">
        <v>896</v>
      </c>
      <c r="C451" t="s">
        <v>897</v>
      </c>
      <c r="D451" t="s">
        <v>14</v>
      </c>
      <c r="E451" s="3">
        <v>1.5483870967741924</v>
      </c>
      <c r="F451" s="3">
        <v>1.7096774193548374</v>
      </c>
      <c r="G451" s="3">
        <v>2.6153846153846159</v>
      </c>
    </row>
    <row r="452" spans="1:7" x14ac:dyDescent="0.25">
      <c r="A452" t="s">
        <v>721</v>
      </c>
      <c r="B452" t="s">
        <v>898</v>
      </c>
      <c r="C452" t="s">
        <v>899</v>
      </c>
      <c r="D452" t="s">
        <v>14</v>
      </c>
      <c r="E452" s="3">
        <v>0.90322580645161232</v>
      </c>
      <c r="F452" s="3">
        <v>0.61290322580645129</v>
      </c>
      <c r="G452" s="3">
        <v>0.38461538461538464</v>
      </c>
    </row>
    <row r="453" spans="1:7" x14ac:dyDescent="0.25">
      <c r="A453" t="s">
        <v>721</v>
      </c>
      <c r="B453" t="s">
        <v>900</v>
      </c>
      <c r="C453" t="s">
        <v>901</v>
      </c>
      <c r="D453" t="s">
        <v>9</v>
      </c>
      <c r="E453" s="3">
        <v>2.0967741935483857</v>
      </c>
      <c r="F453" s="3">
        <v>4.4193548387096744</v>
      </c>
      <c r="G453" s="3">
        <v>2.9230769230769242</v>
      </c>
    </row>
    <row r="454" spans="1:7" x14ac:dyDescent="0.25">
      <c r="A454" t="s">
        <v>721</v>
      </c>
      <c r="B454" t="s">
        <v>902</v>
      </c>
      <c r="C454" t="s">
        <v>903</v>
      </c>
      <c r="D454" t="s">
        <v>30</v>
      </c>
      <c r="E454" s="3">
        <v>13.580645161290464</v>
      </c>
      <c r="F454" s="3">
        <v>14.096774193548464</v>
      </c>
      <c r="G454" s="3">
        <v>12.923076923076895</v>
      </c>
    </row>
    <row r="455" spans="1:7" x14ac:dyDescent="0.25">
      <c r="A455" t="s">
        <v>721</v>
      </c>
      <c r="B455" t="s">
        <v>904</v>
      </c>
      <c r="C455" t="s">
        <v>905</v>
      </c>
      <c r="D455" t="s">
        <v>14</v>
      </c>
      <c r="E455" s="3">
        <v>0.90322580645161232</v>
      </c>
      <c r="F455" s="3">
        <v>0.83870967741935432</v>
      </c>
      <c r="G455" s="3">
        <v>0.38461538461538464</v>
      </c>
    </row>
    <row r="456" spans="1:7" x14ac:dyDescent="0.25">
      <c r="A456" t="s">
        <v>721</v>
      </c>
      <c r="B456" t="s">
        <v>938</v>
      </c>
      <c r="C456" t="s">
        <v>939</v>
      </c>
      <c r="D456" t="s">
        <v>9</v>
      </c>
      <c r="E456" s="3">
        <v>0.16129032258064516</v>
      </c>
      <c r="F456" s="3"/>
      <c r="G456" s="3"/>
    </row>
    <row r="457" spans="1:7" x14ac:dyDescent="0.25">
      <c r="A457" t="s">
        <v>721</v>
      </c>
      <c r="B457" t="s">
        <v>906</v>
      </c>
      <c r="C457" t="s">
        <v>907</v>
      </c>
      <c r="D457" t="s">
        <v>14</v>
      </c>
      <c r="E457" s="3">
        <v>11.064516129032333</v>
      </c>
      <c r="F457" s="3">
        <v>12.354838709677528</v>
      </c>
      <c r="G457" s="3">
        <v>6.6153846153846096</v>
      </c>
    </row>
    <row r="458" spans="1:7" x14ac:dyDescent="0.25">
      <c r="A458" t="s">
        <v>721</v>
      </c>
      <c r="B458" t="s">
        <v>908</v>
      </c>
      <c r="C458" t="s">
        <v>909</v>
      </c>
      <c r="D458" t="s">
        <v>9</v>
      </c>
      <c r="E458" s="3">
        <v>5.6129032258064475</v>
      </c>
      <c r="F458" s="3">
        <v>5.3870967741935445</v>
      </c>
      <c r="G458" s="3">
        <v>5.9230769230769198</v>
      </c>
    </row>
    <row r="459" spans="1:7" x14ac:dyDescent="0.25">
      <c r="A459" t="s">
        <v>721</v>
      </c>
      <c r="B459" t="s">
        <v>910</v>
      </c>
      <c r="C459" t="s">
        <v>911</v>
      </c>
      <c r="D459" t="s">
        <v>14</v>
      </c>
      <c r="E459" s="3">
        <v>1.4193548387096764</v>
      </c>
      <c r="F459" s="3">
        <v>1.9999999999999984</v>
      </c>
      <c r="G459" s="3">
        <v>1.1538461538461535</v>
      </c>
    </row>
    <row r="460" spans="1:7" x14ac:dyDescent="0.25">
      <c r="A460" t="s">
        <v>721</v>
      </c>
      <c r="B460" t="s">
        <v>912</v>
      </c>
      <c r="C460" t="s">
        <v>913</v>
      </c>
      <c r="D460" t="s">
        <v>14</v>
      </c>
      <c r="E460" s="3">
        <v>1.6451612903225794</v>
      </c>
      <c r="F460" s="3">
        <v>1.1612903225806444</v>
      </c>
      <c r="G460" s="3">
        <v>0.30769230769230771</v>
      </c>
    </row>
    <row r="461" spans="1:7" x14ac:dyDescent="0.25">
      <c r="A461" t="s">
        <v>721</v>
      </c>
      <c r="B461" t="s">
        <v>914</v>
      </c>
      <c r="C461" t="s">
        <v>915</v>
      </c>
      <c r="D461" t="s">
        <v>14</v>
      </c>
      <c r="E461" s="3">
        <v>8.8387096774193701</v>
      </c>
      <c r="F461" s="3">
        <v>9.3548387096774483</v>
      </c>
      <c r="G461" s="3">
        <v>8.1538461538461426</v>
      </c>
    </row>
    <row r="462" spans="1:7" x14ac:dyDescent="0.25">
      <c r="A462" t="s">
        <v>721</v>
      </c>
      <c r="B462" t="s">
        <v>916</v>
      </c>
      <c r="C462" t="s">
        <v>917</v>
      </c>
      <c r="D462" t="s">
        <v>9</v>
      </c>
      <c r="E462" s="3">
        <v>11.193548387096852</v>
      </c>
      <c r="F462" s="3">
        <v>11.096774193548463</v>
      </c>
      <c r="G462" s="3">
        <v>11.230769230769209</v>
      </c>
    </row>
    <row r="463" spans="1:7" x14ac:dyDescent="0.25">
      <c r="A463" t="s">
        <v>721</v>
      </c>
      <c r="B463" t="s">
        <v>940</v>
      </c>
      <c r="C463" t="s">
        <v>224</v>
      </c>
      <c r="D463" t="s">
        <v>30</v>
      </c>
      <c r="E463" s="3">
        <v>3.2258064516129031E-2</v>
      </c>
      <c r="F463" s="3"/>
      <c r="G463" s="3"/>
    </row>
    <row r="464" spans="1:7" x14ac:dyDescent="0.25">
      <c r="A464" t="s">
        <v>721</v>
      </c>
      <c r="B464" t="s">
        <v>918</v>
      </c>
      <c r="C464" t="s">
        <v>919</v>
      </c>
      <c r="D464" t="s">
        <v>30</v>
      </c>
      <c r="E464" s="3">
        <v>1.7419354838709664</v>
      </c>
      <c r="F464" s="3">
        <v>1.3870967741935474</v>
      </c>
      <c r="G464" s="3">
        <v>1.3076923076923073</v>
      </c>
    </row>
    <row r="465" spans="1:7" x14ac:dyDescent="0.25">
      <c r="A465" t="s">
        <v>721</v>
      </c>
      <c r="B465" t="s">
        <v>920</v>
      </c>
      <c r="C465" t="s">
        <v>921</v>
      </c>
      <c r="D465" t="s">
        <v>14</v>
      </c>
      <c r="E465" s="3">
        <v>1.8387096774193534</v>
      </c>
      <c r="F465" s="3">
        <v>1.2258064516129024</v>
      </c>
      <c r="G465" s="3">
        <v>1.5384615384615379</v>
      </c>
    </row>
    <row r="466" spans="1:7" x14ac:dyDescent="0.25">
      <c r="A466" t="s">
        <v>721</v>
      </c>
      <c r="B466" t="s">
        <v>922</v>
      </c>
      <c r="C466" t="s">
        <v>923</v>
      </c>
      <c r="D466" t="s">
        <v>9</v>
      </c>
      <c r="E466" s="3">
        <v>0.54838709677419328</v>
      </c>
      <c r="F466" s="3">
        <v>0.35483870967741926</v>
      </c>
      <c r="G466" s="3">
        <v>0.30769230769230771</v>
      </c>
    </row>
    <row r="467" spans="1:7" x14ac:dyDescent="0.25">
      <c r="A467" t="s">
        <v>721</v>
      </c>
      <c r="B467" t="s">
        <v>941</v>
      </c>
      <c r="C467" t="s">
        <v>942</v>
      </c>
      <c r="D467" t="s">
        <v>9</v>
      </c>
      <c r="E467" s="3">
        <v>0.16129032258064516</v>
      </c>
      <c r="F467" s="3"/>
      <c r="G467" s="3"/>
    </row>
    <row r="468" spans="1:7" x14ac:dyDescent="0.25">
      <c r="A468" t="s">
        <v>721</v>
      </c>
      <c r="B468" t="s">
        <v>943</v>
      </c>
      <c r="C468" t="s">
        <v>224</v>
      </c>
      <c r="D468" t="s">
        <v>30</v>
      </c>
      <c r="E468" s="3">
        <v>3.2258064516129031E-2</v>
      </c>
      <c r="F468" s="3"/>
      <c r="G468" s="3"/>
    </row>
    <row r="469" spans="1:7" x14ac:dyDescent="0.25">
      <c r="A469" t="s">
        <v>721</v>
      </c>
      <c r="B469" t="s">
        <v>924</v>
      </c>
      <c r="C469" t="s">
        <v>224</v>
      </c>
      <c r="D469" t="s">
        <v>9</v>
      </c>
      <c r="E469" s="3">
        <v>0.51612903225806428</v>
      </c>
      <c r="F469" s="3">
        <v>3.4193548387096748</v>
      </c>
      <c r="G469" s="3">
        <v>3.4615384615384639</v>
      </c>
    </row>
    <row r="470" spans="1:7" x14ac:dyDescent="0.25">
      <c r="A470" t="s">
        <v>721</v>
      </c>
      <c r="B470" t="s">
        <v>925</v>
      </c>
      <c r="C470" t="s">
        <v>833</v>
      </c>
      <c r="D470" t="s">
        <v>14</v>
      </c>
      <c r="E470" s="3"/>
      <c r="F470" s="3">
        <v>2.8064516129032238</v>
      </c>
      <c r="G470" s="3">
        <v>4.0000000000000036</v>
      </c>
    </row>
    <row r="471" spans="1:7" x14ac:dyDescent="0.25">
      <c r="A471" t="s">
        <v>721</v>
      </c>
      <c r="B471" t="s">
        <v>926</v>
      </c>
      <c r="C471" t="s">
        <v>927</v>
      </c>
      <c r="D471" t="s">
        <v>30</v>
      </c>
      <c r="E471" s="3"/>
      <c r="F471" s="3">
        <v>4.7096774193548354</v>
      </c>
      <c r="G471" s="3">
        <v>14.692307692307658</v>
      </c>
    </row>
    <row r="472" spans="1:7" x14ac:dyDescent="0.25">
      <c r="E472" s="3"/>
      <c r="F472" s="3"/>
      <c r="G472" s="3"/>
    </row>
    <row r="473" spans="1:7" x14ac:dyDescent="0.25">
      <c r="E473" s="3"/>
      <c r="F473" s="3"/>
      <c r="G473" s="3"/>
    </row>
    <row r="474" spans="1:7" x14ac:dyDescent="0.25">
      <c r="E474" s="3"/>
      <c r="F474" s="3"/>
      <c r="G474" s="3"/>
    </row>
    <row r="475" spans="1:7" x14ac:dyDescent="0.25">
      <c r="E475" s="3"/>
      <c r="F475" s="3"/>
      <c r="G475" s="3"/>
    </row>
    <row r="476" spans="1:7" x14ac:dyDescent="0.25">
      <c r="E476" s="3"/>
      <c r="F476" s="3"/>
      <c r="G476" s="3"/>
    </row>
    <row r="477" spans="1:7" x14ac:dyDescent="0.25">
      <c r="E477" s="3"/>
      <c r="F477" s="3"/>
      <c r="G477" s="3"/>
    </row>
    <row r="478" spans="1:7" x14ac:dyDescent="0.25">
      <c r="E478" s="3"/>
      <c r="F478" s="3"/>
      <c r="G478" s="3"/>
    </row>
    <row r="479" spans="1:7" x14ac:dyDescent="0.25">
      <c r="E479" s="3"/>
      <c r="F479" s="3"/>
      <c r="G479" s="3"/>
    </row>
    <row r="480" spans="1:7" x14ac:dyDescent="0.25">
      <c r="E480" s="3"/>
      <c r="F480" s="3"/>
      <c r="G480" s="3"/>
    </row>
    <row r="481" spans="5:7" x14ac:dyDescent="0.25">
      <c r="E481" s="3"/>
      <c r="F481" s="3"/>
      <c r="G481" s="3"/>
    </row>
    <row r="482" spans="5:7" x14ac:dyDescent="0.25">
      <c r="E482" s="3"/>
      <c r="F482" s="3"/>
      <c r="G482" s="3"/>
    </row>
    <row r="483" spans="5:7" x14ac:dyDescent="0.25">
      <c r="E483" s="3"/>
      <c r="F483" s="3"/>
      <c r="G483" s="3"/>
    </row>
    <row r="484" spans="5:7" x14ac:dyDescent="0.25">
      <c r="E484" s="3"/>
      <c r="F484" s="3"/>
      <c r="G484" s="3"/>
    </row>
    <row r="485" spans="5:7" x14ac:dyDescent="0.25">
      <c r="E485" s="3"/>
      <c r="F485" s="3"/>
      <c r="G485" s="3"/>
    </row>
    <row r="486" spans="5:7" x14ac:dyDescent="0.25">
      <c r="E486" s="3"/>
      <c r="F486" s="3"/>
      <c r="G486" s="3"/>
    </row>
    <row r="487" spans="5:7" x14ac:dyDescent="0.25">
      <c r="E487" s="3"/>
      <c r="F487" s="3"/>
      <c r="G487" s="3"/>
    </row>
    <row r="488" spans="5:7" x14ac:dyDescent="0.25">
      <c r="E488" s="3"/>
      <c r="F488" s="3"/>
      <c r="G488" s="3"/>
    </row>
    <row r="489" spans="5:7" x14ac:dyDescent="0.25">
      <c r="E489" s="3"/>
      <c r="F489" s="3"/>
      <c r="G489" s="3"/>
    </row>
    <row r="490" spans="5:7" x14ac:dyDescent="0.25">
      <c r="E490" s="3"/>
      <c r="F490" s="3"/>
      <c r="G490" s="3"/>
    </row>
    <row r="491" spans="5:7" x14ac:dyDescent="0.25">
      <c r="E491" s="3"/>
      <c r="F491" s="3"/>
      <c r="G491" s="3"/>
    </row>
    <row r="492" spans="5:7" x14ac:dyDescent="0.25">
      <c r="E492" s="3"/>
      <c r="F492" s="3"/>
      <c r="G492" s="3"/>
    </row>
    <row r="493" spans="5:7" x14ac:dyDescent="0.25">
      <c r="E493" s="3"/>
      <c r="F493" s="3"/>
      <c r="G493" s="3"/>
    </row>
    <row r="494" spans="5:7" x14ac:dyDescent="0.25">
      <c r="E494" s="3"/>
      <c r="F494" s="3"/>
      <c r="G494" s="3"/>
    </row>
    <row r="495" spans="5:7" x14ac:dyDescent="0.25">
      <c r="E495" s="3"/>
      <c r="F495" s="3"/>
      <c r="G495" s="3"/>
    </row>
    <row r="496" spans="5:7" x14ac:dyDescent="0.25">
      <c r="E496" s="3"/>
      <c r="F496" s="3"/>
      <c r="G496" s="3"/>
    </row>
    <row r="497" spans="5:7" x14ac:dyDescent="0.25">
      <c r="E497" s="3"/>
      <c r="F497" s="3"/>
      <c r="G497" s="3"/>
    </row>
    <row r="498" spans="5:7" x14ac:dyDescent="0.25">
      <c r="E498" s="3"/>
      <c r="F498" s="3"/>
      <c r="G498" s="3"/>
    </row>
    <row r="499" spans="5:7" x14ac:dyDescent="0.25">
      <c r="E499" s="3"/>
      <c r="F499" s="3"/>
      <c r="G499" s="3"/>
    </row>
    <row r="500" spans="5:7" x14ac:dyDescent="0.25">
      <c r="E500" s="3"/>
      <c r="F500" s="3"/>
      <c r="G500" s="3"/>
    </row>
    <row r="501" spans="5:7" x14ac:dyDescent="0.25">
      <c r="E501" s="3"/>
      <c r="F501" s="3"/>
      <c r="G501" s="3"/>
    </row>
    <row r="502" spans="5:7" x14ac:dyDescent="0.25">
      <c r="E502" s="3"/>
      <c r="F502" s="3"/>
      <c r="G502" s="3"/>
    </row>
    <row r="503" spans="5:7" x14ac:dyDescent="0.25">
      <c r="E503" s="3"/>
      <c r="F503" s="3"/>
      <c r="G503" s="3"/>
    </row>
    <row r="504" spans="5:7" x14ac:dyDescent="0.25">
      <c r="E504" s="3"/>
      <c r="F504" s="3"/>
      <c r="G504" s="3"/>
    </row>
    <row r="505" spans="5:7" x14ac:dyDescent="0.25">
      <c r="E505" s="3"/>
      <c r="F505" s="3"/>
      <c r="G505" s="3"/>
    </row>
    <row r="506" spans="5:7" x14ac:dyDescent="0.25">
      <c r="E506" s="3"/>
      <c r="F506" s="3"/>
      <c r="G506" s="3"/>
    </row>
    <row r="507" spans="5:7" x14ac:dyDescent="0.25">
      <c r="E507" s="3"/>
      <c r="F507" s="3"/>
      <c r="G507" s="3"/>
    </row>
    <row r="508" spans="5:7" x14ac:dyDescent="0.25">
      <c r="E508" s="3"/>
      <c r="F508" s="3"/>
      <c r="G508" s="3"/>
    </row>
    <row r="509" spans="5:7" x14ac:dyDescent="0.25">
      <c r="E509" s="3"/>
      <c r="F509" s="3"/>
      <c r="G509" s="3"/>
    </row>
    <row r="510" spans="5:7" x14ac:dyDescent="0.25">
      <c r="E510" s="3"/>
      <c r="F510" s="3"/>
      <c r="G510" s="3"/>
    </row>
    <row r="511" spans="5:7" x14ac:dyDescent="0.25">
      <c r="E511" s="3"/>
      <c r="F511" s="3"/>
      <c r="G511" s="3"/>
    </row>
    <row r="512" spans="5:7" x14ac:dyDescent="0.25">
      <c r="E512" s="3"/>
      <c r="F512" s="3"/>
      <c r="G512" s="3"/>
    </row>
    <row r="513" spans="5:7" x14ac:dyDescent="0.25">
      <c r="E513" s="3"/>
      <c r="F513" s="3"/>
      <c r="G513" s="3"/>
    </row>
    <row r="514" spans="5:7" x14ac:dyDescent="0.25">
      <c r="E514" s="3"/>
      <c r="F514" s="3"/>
      <c r="G514" s="3"/>
    </row>
    <row r="515" spans="5:7" x14ac:dyDescent="0.25">
      <c r="E515" s="3"/>
      <c r="F515" s="3"/>
      <c r="G515" s="3"/>
    </row>
    <row r="516" spans="5:7" x14ac:dyDescent="0.25">
      <c r="E516" s="3"/>
      <c r="F516" s="3"/>
      <c r="G516" s="3"/>
    </row>
    <row r="517" spans="5:7" x14ac:dyDescent="0.25">
      <c r="E517" s="3"/>
      <c r="F517" s="3"/>
      <c r="G517" s="3"/>
    </row>
    <row r="518" spans="5:7" x14ac:dyDescent="0.25">
      <c r="E518" s="3"/>
      <c r="F518" s="3"/>
      <c r="G518" s="3"/>
    </row>
    <row r="519" spans="5:7" x14ac:dyDescent="0.25">
      <c r="E519" s="3"/>
      <c r="F519" s="3"/>
      <c r="G519" s="3"/>
    </row>
    <row r="520" spans="5:7" x14ac:dyDescent="0.25">
      <c r="E520" s="3"/>
      <c r="F520" s="3"/>
      <c r="G520" s="3"/>
    </row>
    <row r="521" spans="5:7" x14ac:dyDescent="0.25">
      <c r="E521" s="3"/>
      <c r="F521" s="3"/>
      <c r="G521" s="3"/>
    </row>
    <row r="522" spans="5:7" x14ac:dyDescent="0.25">
      <c r="E522" s="3"/>
      <c r="F522" s="3"/>
      <c r="G522" s="3"/>
    </row>
    <row r="523" spans="5:7" x14ac:dyDescent="0.25">
      <c r="E523" s="3"/>
      <c r="F523" s="3"/>
      <c r="G523" s="3"/>
    </row>
    <row r="524" spans="5:7" x14ac:dyDescent="0.25">
      <c r="E524" s="3"/>
      <c r="F524" s="3"/>
      <c r="G524" s="3"/>
    </row>
    <row r="525" spans="5:7" x14ac:dyDescent="0.25">
      <c r="E525" s="3"/>
      <c r="F525" s="3"/>
      <c r="G525" s="3"/>
    </row>
    <row r="526" spans="5:7" x14ac:dyDescent="0.25">
      <c r="E526" s="3"/>
      <c r="F526" s="3"/>
      <c r="G526" s="3"/>
    </row>
    <row r="527" spans="5:7" x14ac:dyDescent="0.25">
      <c r="E527" s="3"/>
      <c r="F527" s="3"/>
      <c r="G527" s="3"/>
    </row>
    <row r="528" spans="5:7" x14ac:dyDescent="0.25">
      <c r="E528" s="3"/>
      <c r="F528" s="3"/>
      <c r="G528" s="3"/>
    </row>
    <row r="529" spans="5:7" x14ac:dyDescent="0.25">
      <c r="E529" s="3"/>
      <c r="F529" s="3"/>
      <c r="G529" s="3"/>
    </row>
    <row r="530" spans="5:7" x14ac:dyDescent="0.25">
      <c r="E530" s="3"/>
      <c r="F530" s="3"/>
      <c r="G530" s="3"/>
    </row>
    <row r="531" spans="5:7" x14ac:dyDescent="0.25">
      <c r="E531" s="3"/>
      <c r="F531" s="3"/>
      <c r="G531" s="3"/>
    </row>
    <row r="532" spans="5:7" x14ac:dyDescent="0.25">
      <c r="E532" s="3"/>
      <c r="F532" s="3"/>
      <c r="G532" s="3"/>
    </row>
    <row r="533" spans="5:7" x14ac:dyDescent="0.25">
      <c r="E533" s="3"/>
      <c r="F533" s="3"/>
      <c r="G533" s="3"/>
    </row>
    <row r="534" spans="5:7" x14ac:dyDescent="0.25">
      <c r="E534" s="3"/>
      <c r="F534" s="3"/>
      <c r="G534" s="3"/>
    </row>
    <row r="535" spans="5:7" x14ac:dyDescent="0.25">
      <c r="E535" s="3"/>
      <c r="F535" s="3"/>
      <c r="G535" s="3"/>
    </row>
    <row r="536" spans="5:7" x14ac:dyDescent="0.25">
      <c r="E536" s="3"/>
      <c r="F536" s="3"/>
      <c r="G536" s="3"/>
    </row>
    <row r="537" spans="5:7" x14ac:dyDescent="0.25">
      <c r="E537" s="3"/>
      <c r="F537" s="3"/>
      <c r="G537" s="3"/>
    </row>
    <row r="538" spans="5:7" x14ac:dyDescent="0.25">
      <c r="E538" s="3"/>
      <c r="F538" s="3"/>
      <c r="G538" s="3"/>
    </row>
    <row r="539" spans="5:7" x14ac:dyDescent="0.25">
      <c r="E539" s="3"/>
      <c r="F539" s="3"/>
      <c r="G539" s="3"/>
    </row>
    <row r="540" spans="5:7" x14ac:dyDescent="0.25">
      <c r="E540" s="3"/>
      <c r="F540" s="3"/>
      <c r="G540" s="3"/>
    </row>
    <row r="541" spans="5:7" x14ac:dyDescent="0.25">
      <c r="E541" s="3"/>
      <c r="F541" s="3"/>
      <c r="G541" s="3"/>
    </row>
    <row r="542" spans="5:7" x14ac:dyDescent="0.25">
      <c r="E542" s="3"/>
      <c r="F542" s="3"/>
      <c r="G542" s="3"/>
    </row>
    <row r="543" spans="5:7" x14ac:dyDescent="0.25">
      <c r="E543" s="3"/>
      <c r="F543" s="3"/>
      <c r="G543" s="3"/>
    </row>
    <row r="544" spans="5:7" x14ac:dyDescent="0.25">
      <c r="E544" s="3"/>
      <c r="F544" s="3"/>
      <c r="G544" s="3"/>
    </row>
    <row r="545" spans="5:7" x14ac:dyDescent="0.25">
      <c r="E545" s="3"/>
      <c r="F545" s="3"/>
      <c r="G545" s="3"/>
    </row>
    <row r="546" spans="5:7" x14ac:dyDescent="0.25">
      <c r="E546" s="3"/>
      <c r="F546" s="3"/>
      <c r="G546" s="3"/>
    </row>
    <row r="547" spans="5:7" x14ac:dyDescent="0.25">
      <c r="E547" s="3"/>
      <c r="F547" s="3"/>
      <c r="G547" s="3"/>
    </row>
    <row r="548" spans="5:7" x14ac:dyDescent="0.25">
      <c r="E548" s="3"/>
      <c r="F548" s="3"/>
      <c r="G548" s="3"/>
    </row>
    <row r="549" spans="5:7" x14ac:dyDescent="0.25">
      <c r="E549" s="3"/>
      <c r="F549" s="3"/>
      <c r="G549" s="3"/>
    </row>
    <row r="550" spans="5:7" x14ac:dyDescent="0.25">
      <c r="E550" s="3"/>
      <c r="F550" s="3"/>
      <c r="G550" s="3"/>
    </row>
    <row r="551" spans="5:7" x14ac:dyDescent="0.25">
      <c r="E551" s="3"/>
      <c r="F551" s="3"/>
      <c r="G551" s="3"/>
    </row>
    <row r="552" spans="5:7" x14ac:dyDescent="0.25">
      <c r="E552" s="3"/>
      <c r="F552" s="3"/>
      <c r="G552" s="3"/>
    </row>
    <row r="553" spans="5:7" x14ac:dyDescent="0.25">
      <c r="E553" s="3"/>
      <c r="F553" s="3"/>
      <c r="G553" s="3"/>
    </row>
    <row r="554" spans="5:7" x14ac:dyDescent="0.25">
      <c r="E554" s="3"/>
      <c r="F554" s="3"/>
      <c r="G554" s="3"/>
    </row>
    <row r="555" spans="5:7" x14ac:dyDescent="0.25">
      <c r="E555" s="3"/>
      <c r="F555" s="3"/>
      <c r="G555" s="3"/>
    </row>
    <row r="556" spans="5:7" x14ac:dyDescent="0.25">
      <c r="E556" s="3"/>
      <c r="F556" s="3"/>
      <c r="G556" s="3"/>
    </row>
    <row r="557" spans="5:7" x14ac:dyDescent="0.25">
      <c r="E557" s="3"/>
      <c r="F557" s="3"/>
      <c r="G557" s="3"/>
    </row>
    <row r="558" spans="5:7" x14ac:dyDescent="0.25">
      <c r="E558" s="3"/>
      <c r="F558" s="3"/>
      <c r="G558" s="3"/>
    </row>
    <row r="559" spans="5:7" x14ac:dyDescent="0.25">
      <c r="E559" s="3"/>
      <c r="F559" s="3"/>
      <c r="G559" s="3"/>
    </row>
    <row r="560" spans="5:7" x14ac:dyDescent="0.25">
      <c r="E560" s="3"/>
      <c r="F560" s="3"/>
      <c r="G560" s="3"/>
    </row>
    <row r="561" spans="5:7" x14ac:dyDescent="0.25">
      <c r="E561" s="3"/>
      <c r="F561" s="3"/>
      <c r="G561" s="3"/>
    </row>
    <row r="562" spans="5:7" x14ac:dyDescent="0.25">
      <c r="E562" s="3"/>
      <c r="F562" s="3"/>
      <c r="G562" s="3"/>
    </row>
    <row r="563" spans="5:7" x14ac:dyDescent="0.25">
      <c r="E563" s="3"/>
      <c r="F563" s="3"/>
      <c r="G563" s="3"/>
    </row>
    <row r="564" spans="5:7" x14ac:dyDescent="0.25">
      <c r="E564" s="3"/>
      <c r="F564" s="3"/>
      <c r="G564" s="3"/>
    </row>
    <row r="565" spans="5:7" x14ac:dyDescent="0.25">
      <c r="E565" s="3"/>
      <c r="F565" s="3"/>
      <c r="G565" s="3"/>
    </row>
    <row r="566" spans="5:7" x14ac:dyDescent="0.25">
      <c r="E566" s="3"/>
      <c r="F566" s="3"/>
      <c r="G566" s="3"/>
    </row>
    <row r="567" spans="5:7" x14ac:dyDescent="0.25">
      <c r="E567" s="3"/>
      <c r="F567" s="3"/>
      <c r="G567" s="3"/>
    </row>
    <row r="568" spans="5:7" x14ac:dyDescent="0.25">
      <c r="E568" s="3"/>
      <c r="F568" s="3"/>
      <c r="G568" s="3"/>
    </row>
    <row r="569" spans="5:7" x14ac:dyDescent="0.25">
      <c r="E569" s="3"/>
      <c r="F569" s="3"/>
      <c r="G569" s="3"/>
    </row>
    <row r="570" spans="5:7" x14ac:dyDescent="0.25">
      <c r="E570" s="3"/>
      <c r="F570" s="3"/>
      <c r="G570" s="3"/>
    </row>
    <row r="571" spans="5:7" x14ac:dyDescent="0.25">
      <c r="E571" s="3"/>
      <c r="F571" s="3"/>
      <c r="G571" s="3"/>
    </row>
    <row r="572" spans="5:7" x14ac:dyDescent="0.25">
      <c r="E572" s="3"/>
      <c r="F572" s="3"/>
      <c r="G572" s="3"/>
    </row>
    <row r="573" spans="5:7" x14ac:dyDescent="0.25">
      <c r="E573" s="3"/>
      <c r="F573" s="3"/>
      <c r="G573" s="3"/>
    </row>
    <row r="574" spans="5:7" x14ac:dyDescent="0.25">
      <c r="E574" s="3"/>
      <c r="F574" s="3"/>
      <c r="G574" s="3"/>
    </row>
    <row r="575" spans="5:7" x14ac:dyDescent="0.25">
      <c r="E575" s="3"/>
      <c r="F575" s="3"/>
      <c r="G575" s="3"/>
    </row>
    <row r="576" spans="5:7" x14ac:dyDescent="0.25">
      <c r="E576" s="3"/>
      <c r="F576" s="3"/>
      <c r="G576" s="3"/>
    </row>
    <row r="577" spans="5:7" x14ac:dyDescent="0.25">
      <c r="E577" s="3"/>
      <c r="F577" s="3"/>
      <c r="G577" s="3"/>
    </row>
    <row r="578" spans="5:7" x14ac:dyDescent="0.25">
      <c r="E578" s="3"/>
      <c r="F578" s="3"/>
      <c r="G578" s="3"/>
    </row>
    <row r="579" spans="5:7" x14ac:dyDescent="0.25">
      <c r="E579" s="3"/>
      <c r="F579" s="3"/>
      <c r="G579" s="3"/>
    </row>
    <row r="580" spans="5:7" x14ac:dyDescent="0.25">
      <c r="E580" s="3"/>
      <c r="F580" s="3"/>
      <c r="G580" s="3"/>
    </row>
    <row r="581" spans="5:7" x14ac:dyDescent="0.25">
      <c r="E581" s="3"/>
      <c r="F581" s="3"/>
      <c r="G581" s="3"/>
    </row>
    <row r="582" spans="5:7" x14ac:dyDescent="0.25">
      <c r="E582" s="3"/>
      <c r="F582" s="3"/>
      <c r="G582" s="3"/>
    </row>
    <row r="583" spans="5:7" x14ac:dyDescent="0.25">
      <c r="E583" s="3"/>
      <c r="F583" s="3"/>
      <c r="G583" s="3"/>
    </row>
    <row r="584" spans="5:7" x14ac:dyDescent="0.25">
      <c r="E584" s="3"/>
      <c r="F584" s="3"/>
      <c r="G584" s="3"/>
    </row>
    <row r="585" spans="5:7" x14ac:dyDescent="0.25">
      <c r="E585" s="3"/>
      <c r="F585" s="3"/>
      <c r="G585" s="3"/>
    </row>
    <row r="586" spans="5:7" x14ac:dyDescent="0.25">
      <c r="E586" s="3"/>
      <c r="F586" s="3"/>
      <c r="G586" s="3"/>
    </row>
    <row r="587" spans="5:7" x14ac:dyDescent="0.25">
      <c r="E587" s="3"/>
      <c r="F587" s="3"/>
      <c r="G587" s="3"/>
    </row>
    <row r="588" spans="5:7" x14ac:dyDescent="0.25">
      <c r="E588" s="3"/>
      <c r="F588" s="3"/>
      <c r="G588" s="3"/>
    </row>
    <row r="589" spans="5:7" x14ac:dyDescent="0.25">
      <c r="E589" s="3"/>
      <c r="F589" s="3"/>
      <c r="G589" s="3"/>
    </row>
    <row r="590" spans="5:7" x14ac:dyDescent="0.25">
      <c r="E590" s="3"/>
      <c r="F590" s="3"/>
      <c r="G590" s="3"/>
    </row>
    <row r="591" spans="5:7" x14ac:dyDescent="0.25">
      <c r="E591" s="3"/>
      <c r="F591" s="3"/>
      <c r="G591" s="3"/>
    </row>
    <row r="592" spans="5:7" x14ac:dyDescent="0.25">
      <c r="E592" s="3"/>
      <c r="F592" s="3"/>
      <c r="G592" s="3"/>
    </row>
    <row r="593" spans="5:7" x14ac:dyDescent="0.25">
      <c r="E593" s="3"/>
      <c r="F593" s="3"/>
      <c r="G593" s="3"/>
    </row>
    <row r="594" spans="5:7" x14ac:dyDescent="0.25">
      <c r="E594" s="3"/>
      <c r="F594" s="3"/>
      <c r="G594" s="3"/>
    </row>
    <row r="595" spans="5:7" x14ac:dyDescent="0.25">
      <c r="E595" s="3"/>
      <c r="F595" s="3"/>
      <c r="G595" s="3"/>
    </row>
    <row r="596" spans="5:7" x14ac:dyDescent="0.25">
      <c r="E596" s="3"/>
      <c r="F596" s="3"/>
      <c r="G596" s="3"/>
    </row>
    <row r="597" spans="5:7" x14ac:dyDescent="0.25">
      <c r="E597" s="3"/>
      <c r="F597" s="3"/>
      <c r="G597" s="3"/>
    </row>
    <row r="598" spans="5:7" x14ac:dyDescent="0.25">
      <c r="E598" s="3"/>
      <c r="F598" s="3"/>
      <c r="G598" s="3"/>
    </row>
    <row r="599" spans="5:7" x14ac:dyDescent="0.25">
      <c r="E599" s="3"/>
      <c r="F599" s="3"/>
      <c r="G599" s="3"/>
    </row>
    <row r="600" spans="5:7" x14ac:dyDescent="0.25">
      <c r="E600" s="3"/>
      <c r="F600" s="3"/>
      <c r="G600" s="3"/>
    </row>
    <row r="601" spans="5:7" x14ac:dyDescent="0.25">
      <c r="E601" s="3"/>
      <c r="F601" s="3"/>
      <c r="G601" s="3"/>
    </row>
    <row r="602" spans="5:7" x14ac:dyDescent="0.25">
      <c r="E602" s="3"/>
      <c r="F602" s="3"/>
      <c r="G602" s="3"/>
    </row>
    <row r="603" spans="5:7" x14ac:dyDescent="0.25">
      <c r="E603" s="3"/>
      <c r="F603" s="3"/>
      <c r="G603" s="3"/>
    </row>
    <row r="604" spans="5:7" x14ac:dyDescent="0.25">
      <c r="E604" s="3"/>
      <c r="F604" s="3"/>
      <c r="G604" s="3"/>
    </row>
    <row r="605" spans="5:7" x14ac:dyDescent="0.25">
      <c r="E605" s="3"/>
      <c r="F605" s="3"/>
      <c r="G605" s="3"/>
    </row>
    <row r="606" spans="5:7" x14ac:dyDescent="0.25">
      <c r="E606" s="3"/>
      <c r="F606" s="3"/>
      <c r="G606" s="3"/>
    </row>
    <row r="607" spans="5:7" x14ac:dyDescent="0.25">
      <c r="E607" s="3"/>
      <c r="F607" s="3"/>
      <c r="G607" s="3"/>
    </row>
    <row r="608" spans="5:7" x14ac:dyDescent="0.25">
      <c r="E608" s="3"/>
      <c r="F608" s="3"/>
      <c r="G608" s="3"/>
    </row>
    <row r="609" spans="5:7" x14ac:dyDescent="0.25">
      <c r="E609" s="3"/>
      <c r="F609" s="3"/>
      <c r="G609" s="3"/>
    </row>
    <row r="610" spans="5:7" x14ac:dyDescent="0.25">
      <c r="E610" s="3"/>
      <c r="F610" s="3"/>
      <c r="G610" s="3"/>
    </row>
    <row r="611" spans="5:7" x14ac:dyDescent="0.25">
      <c r="E611" s="3"/>
      <c r="F611" s="3"/>
      <c r="G611" s="3"/>
    </row>
    <row r="612" spans="5:7" x14ac:dyDescent="0.25">
      <c r="E612" s="3"/>
      <c r="F612" s="3"/>
      <c r="G612" s="3"/>
    </row>
    <row r="613" spans="5:7" x14ac:dyDescent="0.25">
      <c r="E613" s="3"/>
      <c r="F613" s="3"/>
      <c r="G613" s="3"/>
    </row>
    <row r="614" spans="5:7" x14ac:dyDescent="0.25">
      <c r="E614" s="3"/>
      <c r="F614" s="3"/>
      <c r="G614" s="3"/>
    </row>
    <row r="615" spans="5:7" x14ac:dyDescent="0.25">
      <c r="E615" s="3"/>
      <c r="F615" s="3"/>
      <c r="G615" s="3"/>
    </row>
    <row r="616" spans="5:7" x14ac:dyDescent="0.25">
      <c r="E616" s="3"/>
      <c r="F616" s="3"/>
      <c r="G616" s="3"/>
    </row>
    <row r="617" spans="5:7" x14ac:dyDescent="0.25">
      <c r="E617" s="3"/>
      <c r="F617" s="3"/>
      <c r="G617" s="3"/>
    </row>
    <row r="618" spans="5:7" x14ac:dyDescent="0.25">
      <c r="E618" s="3"/>
      <c r="F618" s="3"/>
      <c r="G618" s="3"/>
    </row>
    <row r="619" spans="5:7" x14ac:dyDescent="0.25">
      <c r="E619" s="3"/>
      <c r="F619" s="3"/>
      <c r="G619" s="3"/>
    </row>
    <row r="620" spans="5:7" x14ac:dyDescent="0.25">
      <c r="E620" s="3"/>
      <c r="F620" s="3"/>
      <c r="G620" s="3"/>
    </row>
    <row r="621" spans="5:7" x14ac:dyDescent="0.25">
      <c r="E621" s="3"/>
      <c r="F621" s="3"/>
      <c r="G621" s="3"/>
    </row>
    <row r="622" spans="5:7" x14ac:dyDescent="0.25">
      <c r="E622" s="3"/>
      <c r="F622" s="3"/>
      <c r="G622" s="3"/>
    </row>
    <row r="623" spans="5:7" x14ac:dyDescent="0.25">
      <c r="E623" s="3"/>
      <c r="F623" s="3"/>
      <c r="G623" s="3"/>
    </row>
    <row r="624" spans="5:7" x14ac:dyDescent="0.25">
      <c r="E624" s="3"/>
      <c r="F624" s="3"/>
      <c r="G624" s="3"/>
    </row>
    <row r="625" spans="5:7" x14ac:dyDescent="0.25">
      <c r="E625" s="3"/>
      <c r="F625" s="3"/>
      <c r="G625" s="3"/>
    </row>
    <row r="626" spans="5:7" x14ac:dyDescent="0.25">
      <c r="E626" s="3"/>
      <c r="F626" s="3"/>
      <c r="G626" s="3"/>
    </row>
    <row r="627" spans="5:7" x14ac:dyDescent="0.25">
      <c r="E627" s="3"/>
      <c r="F627" s="3"/>
      <c r="G627" s="3"/>
    </row>
    <row r="628" spans="5:7" x14ac:dyDescent="0.25">
      <c r="E628" s="3"/>
      <c r="F628" s="3"/>
      <c r="G628" s="3"/>
    </row>
    <row r="629" spans="5:7" x14ac:dyDescent="0.25">
      <c r="E629" s="3"/>
      <c r="F629" s="3"/>
      <c r="G629" s="3"/>
    </row>
    <row r="630" spans="5:7" x14ac:dyDescent="0.25">
      <c r="E630" s="3"/>
      <c r="F630" s="3"/>
      <c r="G630" s="3"/>
    </row>
    <row r="631" spans="5:7" x14ac:dyDescent="0.25">
      <c r="E631" s="3"/>
      <c r="F631" s="3"/>
      <c r="G631" s="3"/>
    </row>
    <row r="632" spans="5:7" x14ac:dyDescent="0.25">
      <c r="E632" s="3"/>
      <c r="F632" s="3"/>
      <c r="G632" s="3"/>
    </row>
    <row r="633" spans="5:7" x14ac:dyDescent="0.25">
      <c r="E633" s="3"/>
      <c r="F633" s="3"/>
      <c r="G633" s="3"/>
    </row>
    <row r="634" spans="5:7" x14ac:dyDescent="0.25">
      <c r="E634" s="3"/>
      <c r="F634" s="3"/>
      <c r="G634" s="3"/>
    </row>
    <row r="635" spans="5:7" x14ac:dyDescent="0.25">
      <c r="E635" s="3"/>
      <c r="F635" s="3"/>
      <c r="G635" s="3"/>
    </row>
    <row r="636" spans="5:7" x14ac:dyDescent="0.25">
      <c r="E636" s="3"/>
      <c r="F636" s="3"/>
      <c r="G636" s="3"/>
    </row>
    <row r="637" spans="5:7" x14ac:dyDescent="0.25">
      <c r="E637" s="3"/>
      <c r="F637" s="3"/>
      <c r="G637" s="3"/>
    </row>
    <row r="638" spans="5:7" x14ac:dyDescent="0.25">
      <c r="E638" s="3"/>
      <c r="F638" s="3"/>
      <c r="G638" s="3"/>
    </row>
    <row r="639" spans="5:7" x14ac:dyDescent="0.25">
      <c r="E639" s="3"/>
      <c r="F639" s="3"/>
      <c r="G639" s="3"/>
    </row>
    <row r="640" spans="5:7" x14ac:dyDescent="0.25">
      <c r="E640" s="3"/>
      <c r="F640" s="3"/>
      <c r="G640" s="3"/>
    </row>
    <row r="641" spans="5:7" x14ac:dyDescent="0.25">
      <c r="E641" s="3"/>
      <c r="F641" s="3"/>
      <c r="G641" s="3"/>
    </row>
    <row r="642" spans="5:7" x14ac:dyDescent="0.25">
      <c r="E642" s="3"/>
      <c r="F642" s="3"/>
      <c r="G642" s="3"/>
    </row>
    <row r="643" spans="5:7" x14ac:dyDescent="0.25">
      <c r="E643" s="3"/>
      <c r="F643" s="3"/>
      <c r="G643" s="3"/>
    </row>
    <row r="644" spans="5:7" x14ac:dyDescent="0.25">
      <c r="E644" s="3"/>
      <c r="F644" s="3"/>
      <c r="G644" s="3"/>
    </row>
    <row r="645" spans="5:7" x14ac:dyDescent="0.25">
      <c r="E645" s="3"/>
      <c r="F645" s="3"/>
      <c r="G645" s="3"/>
    </row>
    <row r="646" spans="5:7" x14ac:dyDescent="0.25">
      <c r="E646" s="3"/>
      <c r="F646" s="3"/>
      <c r="G646" s="3"/>
    </row>
    <row r="647" spans="5:7" x14ac:dyDescent="0.25">
      <c r="E647" s="3"/>
      <c r="F647" s="3"/>
      <c r="G647" s="3"/>
    </row>
    <row r="648" spans="5:7" x14ac:dyDescent="0.25">
      <c r="E648" s="3"/>
      <c r="F648" s="3"/>
      <c r="G648" s="3"/>
    </row>
    <row r="649" spans="5:7" x14ac:dyDescent="0.25">
      <c r="E649" s="3"/>
      <c r="F649" s="3"/>
      <c r="G649" s="3"/>
    </row>
    <row r="650" spans="5:7" x14ac:dyDescent="0.25">
      <c r="E650" s="3"/>
      <c r="F650" s="3"/>
      <c r="G650" s="3"/>
    </row>
    <row r="651" spans="5:7" x14ac:dyDescent="0.25">
      <c r="E651" s="3"/>
      <c r="F651" s="3"/>
      <c r="G651" s="3"/>
    </row>
    <row r="652" spans="5:7" x14ac:dyDescent="0.25">
      <c r="E652" s="3"/>
      <c r="F652" s="3"/>
      <c r="G652" s="3"/>
    </row>
    <row r="653" spans="5:7" x14ac:dyDescent="0.25">
      <c r="E653" s="3"/>
      <c r="F653" s="3"/>
      <c r="G653" s="3"/>
    </row>
    <row r="654" spans="5:7" x14ac:dyDescent="0.25">
      <c r="E654" s="3"/>
      <c r="F654" s="3"/>
      <c r="G654" s="3"/>
    </row>
    <row r="655" spans="5:7" x14ac:dyDescent="0.25">
      <c r="E655" s="3"/>
      <c r="F655" s="3"/>
      <c r="G655" s="3"/>
    </row>
    <row r="656" spans="5:7" x14ac:dyDescent="0.25">
      <c r="E656" s="3"/>
      <c r="F656" s="3"/>
      <c r="G656" s="3"/>
    </row>
    <row r="657" spans="5:7" x14ac:dyDescent="0.25">
      <c r="E657" s="3"/>
      <c r="F657" s="3"/>
      <c r="G657" s="3"/>
    </row>
    <row r="658" spans="5:7" x14ac:dyDescent="0.25">
      <c r="E658" s="3"/>
      <c r="F658" s="3"/>
      <c r="G658" s="3"/>
    </row>
    <row r="659" spans="5:7" x14ac:dyDescent="0.25">
      <c r="E659" s="3"/>
      <c r="F659" s="3"/>
      <c r="G659" s="3"/>
    </row>
    <row r="660" spans="5:7" x14ac:dyDescent="0.25">
      <c r="E660" s="3"/>
      <c r="F660" s="3"/>
      <c r="G660" s="3"/>
    </row>
    <row r="661" spans="5:7" x14ac:dyDescent="0.25">
      <c r="E661" s="3"/>
      <c r="F661" s="3"/>
      <c r="G661" s="3"/>
    </row>
    <row r="662" spans="5:7" x14ac:dyDescent="0.25">
      <c r="E662" s="3"/>
      <c r="F662" s="3"/>
      <c r="G662" s="3"/>
    </row>
    <row r="663" spans="5:7" x14ac:dyDescent="0.25">
      <c r="E663" s="3"/>
      <c r="F663" s="3"/>
      <c r="G663" s="3"/>
    </row>
    <row r="664" spans="5:7" x14ac:dyDescent="0.25">
      <c r="E664" s="3"/>
      <c r="F664" s="3"/>
      <c r="G664" s="3"/>
    </row>
    <row r="665" spans="5:7" x14ac:dyDescent="0.25">
      <c r="E665" s="3"/>
      <c r="F665" s="3"/>
      <c r="G665" s="3"/>
    </row>
    <row r="666" spans="5:7" x14ac:dyDescent="0.25">
      <c r="E666" s="3"/>
      <c r="F666" s="3"/>
      <c r="G666" s="3"/>
    </row>
    <row r="667" spans="5:7" x14ac:dyDescent="0.25">
      <c r="E667" s="3"/>
      <c r="F667" s="3"/>
      <c r="G667" s="3"/>
    </row>
    <row r="668" spans="5:7" x14ac:dyDescent="0.25">
      <c r="E668" s="3"/>
      <c r="F668" s="3"/>
      <c r="G668" s="3"/>
    </row>
    <row r="669" spans="5:7" x14ac:dyDescent="0.25">
      <c r="E669" s="3"/>
      <c r="F669" s="3"/>
      <c r="G669" s="3"/>
    </row>
    <row r="670" spans="5:7" x14ac:dyDescent="0.25">
      <c r="E670" s="3"/>
      <c r="F670" s="3"/>
      <c r="G670" s="3"/>
    </row>
    <row r="671" spans="5:7" x14ac:dyDescent="0.25">
      <c r="E671" s="3"/>
      <c r="F671" s="3"/>
      <c r="G671" s="3"/>
    </row>
    <row r="672" spans="5:7" x14ac:dyDescent="0.25">
      <c r="E672" s="3"/>
      <c r="F672" s="3"/>
      <c r="G672" s="3"/>
    </row>
    <row r="673" spans="5:7" x14ac:dyDescent="0.25">
      <c r="E673" s="3"/>
      <c r="F673" s="3"/>
      <c r="G673" s="3"/>
    </row>
    <row r="674" spans="5:7" x14ac:dyDescent="0.25">
      <c r="E674" s="3"/>
      <c r="F674" s="3"/>
      <c r="G674" s="3"/>
    </row>
    <row r="675" spans="5:7" x14ac:dyDescent="0.25">
      <c r="E675" s="3"/>
      <c r="F675" s="3"/>
      <c r="G675" s="3"/>
    </row>
    <row r="676" spans="5:7" x14ac:dyDescent="0.25">
      <c r="E676" s="3"/>
      <c r="F676" s="3"/>
      <c r="G676" s="3"/>
    </row>
    <row r="677" spans="5:7" x14ac:dyDescent="0.25">
      <c r="E677" s="3"/>
      <c r="F677" s="3"/>
      <c r="G677" s="3"/>
    </row>
    <row r="678" spans="5:7" x14ac:dyDescent="0.25">
      <c r="E678" s="3"/>
      <c r="F678" s="3"/>
      <c r="G678" s="3"/>
    </row>
    <row r="679" spans="5:7" x14ac:dyDescent="0.25">
      <c r="E679" s="3"/>
      <c r="F679" s="3"/>
      <c r="G679" s="3"/>
    </row>
    <row r="680" spans="5:7" x14ac:dyDescent="0.25">
      <c r="E680" s="3"/>
      <c r="F680" s="3"/>
      <c r="G680" s="3"/>
    </row>
    <row r="681" spans="5:7" x14ac:dyDescent="0.25">
      <c r="E681" s="3"/>
      <c r="F681" s="3"/>
      <c r="G681" s="3"/>
    </row>
    <row r="682" spans="5:7" x14ac:dyDescent="0.25">
      <c r="E682" s="3"/>
      <c r="F682" s="3"/>
      <c r="G682" s="3"/>
    </row>
    <row r="683" spans="5:7" x14ac:dyDescent="0.25">
      <c r="E683" s="3"/>
      <c r="F683" s="3"/>
      <c r="G683" s="3"/>
    </row>
    <row r="684" spans="5:7" x14ac:dyDescent="0.25">
      <c r="E684" s="3"/>
      <c r="F684" s="3"/>
      <c r="G684" s="3"/>
    </row>
    <row r="685" spans="5:7" x14ac:dyDescent="0.25">
      <c r="E685" s="3"/>
      <c r="F685" s="3"/>
      <c r="G685" s="3"/>
    </row>
    <row r="686" spans="5:7" x14ac:dyDescent="0.25">
      <c r="E686" s="3"/>
      <c r="F686" s="3"/>
      <c r="G686" s="3"/>
    </row>
    <row r="687" spans="5:7" x14ac:dyDescent="0.25">
      <c r="E687" s="3"/>
      <c r="F687" s="3"/>
      <c r="G687" s="3"/>
    </row>
    <row r="688" spans="5:7" x14ac:dyDescent="0.25">
      <c r="E688" s="3"/>
      <c r="F688" s="3"/>
      <c r="G688" s="3"/>
    </row>
    <row r="689" spans="5:7" x14ac:dyDescent="0.25">
      <c r="E689" s="3"/>
      <c r="F689" s="3"/>
      <c r="G689" s="3"/>
    </row>
    <row r="690" spans="5:7" x14ac:dyDescent="0.25">
      <c r="E690" s="3"/>
      <c r="F690" s="3"/>
      <c r="G690" s="3"/>
    </row>
    <row r="691" spans="5:7" x14ac:dyDescent="0.25">
      <c r="E691" s="3"/>
      <c r="F691" s="3"/>
      <c r="G691" s="3"/>
    </row>
    <row r="692" spans="5:7" x14ac:dyDescent="0.25">
      <c r="E692" s="3"/>
      <c r="F692" s="3"/>
      <c r="G692" s="3"/>
    </row>
    <row r="693" spans="5:7" x14ac:dyDescent="0.25">
      <c r="E693" s="3"/>
      <c r="F693" s="3"/>
      <c r="G693" s="3"/>
    </row>
    <row r="694" spans="5:7" x14ac:dyDescent="0.25">
      <c r="E694" s="3"/>
      <c r="F694" s="3"/>
      <c r="G694" s="3"/>
    </row>
    <row r="695" spans="5:7" x14ac:dyDescent="0.25">
      <c r="E695" s="3"/>
      <c r="F695" s="3"/>
      <c r="G695" s="3"/>
    </row>
    <row r="696" spans="5:7" x14ac:dyDescent="0.25">
      <c r="E696" s="3"/>
      <c r="F696" s="3"/>
      <c r="G696" s="3"/>
    </row>
    <row r="697" spans="5:7" x14ac:dyDescent="0.25">
      <c r="E697" s="3"/>
      <c r="F697" s="3"/>
      <c r="G697" s="3"/>
    </row>
    <row r="698" spans="5:7" x14ac:dyDescent="0.25">
      <c r="E698" s="3"/>
      <c r="F698" s="3"/>
      <c r="G698" s="3"/>
    </row>
    <row r="699" spans="5:7" x14ac:dyDescent="0.25">
      <c r="E699" s="3"/>
      <c r="F699" s="3"/>
      <c r="G699" s="3"/>
    </row>
    <row r="700" spans="5:7" x14ac:dyDescent="0.25">
      <c r="E700" s="3"/>
      <c r="F700" s="3"/>
      <c r="G700" s="3"/>
    </row>
    <row r="701" spans="5:7" x14ac:dyDescent="0.25">
      <c r="E701" s="3"/>
      <c r="F701" s="3"/>
      <c r="G701" s="3"/>
    </row>
    <row r="702" spans="5:7" x14ac:dyDescent="0.25">
      <c r="E702" s="3"/>
      <c r="F702" s="3"/>
      <c r="G702" s="3"/>
    </row>
    <row r="703" spans="5:7" x14ac:dyDescent="0.25">
      <c r="E703" s="3"/>
      <c r="F703" s="3"/>
      <c r="G703" s="3"/>
    </row>
    <row r="704" spans="5:7" x14ac:dyDescent="0.25">
      <c r="E704" s="3"/>
      <c r="F704" s="3"/>
      <c r="G704" s="3"/>
    </row>
    <row r="705" spans="5:7" x14ac:dyDescent="0.25">
      <c r="E705" s="3"/>
      <c r="F705" s="3"/>
      <c r="G705" s="3"/>
    </row>
    <row r="706" spans="5:7" x14ac:dyDescent="0.25">
      <c r="E706" s="3"/>
      <c r="F706" s="3"/>
      <c r="G706" s="3"/>
    </row>
    <row r="707" spans="5:7" x14ac:dyDescent="0.25">
      <c r="E707" s="3"/>
      <c r="F707" s="3"/>
      <c r="G707" s="3"/>
    </row>
    <row r="708" spans="5:7" x14ac:dyDescent="0.25">
      <c r="E708" s="3"/>
      <c r="F708" s="3"/>
      <c r="G708" s="3"/>
    </row>
    <row r="709" spans="5:7" x14ac:dyDescent="0.25">
      <c r="E709" s="3"/>
      <c r="F709" s="3"/>
      <c r="G709" s="3"/>
    </row>
    <row r="710" spans="5:7" x14ac:dyDescent="0.25">
      <c r="E710" s="3"/>
      <c r="F710" s="3"/>
      <c r="G710" s="3"/>
    </row>
    <row r="711" spans="5:7" x14ac:dyDescent="0.25">
      <c r="E711" s="3"/>
      <c r="F711" s="3"/>
      <c r="G711" s="3"/>
    </row>
    <row r="712" spans="5:7" x14ac:dyDescent="0.25">
      <c r="E712" s="3"/>
      <c r="F712" s="3"/>
      <c r="G712" s="3"/>
    </row>
    <row r="713" spans="5:7" x14ac:dyDescent="0.25">
      <c r="E713" s="3"/>
      <c r="F713" s="3"/>
      <c r="G713" s="3"/>
    </row>
    <row r="714" spans="5:7" x14ac:dyDescent="0.25">
      <c r="E714" s="3"/>
      <c r="F714" s="3"/>
      <c r="G714" s="3"/>
    </row>
    <row r="715" spans="5:7" x14ac:dyDescent="0.25">
      <c r="E715" s="3"/>
      <c r="F715" s="3"/>
      <c r="G715" s="3"/>
    </row>
    <row r="716" spans="5:7" x14ac:dyDescent="0.25">
      <c r="E716" s="3"/>
      <c r="F716" s="3"/>
      <c r="G716" s="3"/>
    </row>
    <row r="717" spans="5:7" x14ac:dyDescent="0.25">
      <c r="E717" s="3"/>
      <c r="F717" s="3"/>
      <c r="G717" s="3"/>
    </row>
    <row r="718" spans="5:7" x14ac:dyDescent="0.25">
      <c r="E718" s="3"/>
      <c r="F718" s="3"/>
      <c r="G718" s="3"/>
    </row>
    <row r="719" spans="5:7" x14ac:dyDescent="0.25">
      <c r="E719" s="3"/>
      <c r="F719" s="3"/>
      <c r="G719" s="3"/>
    </row>
    <row r="720" spans="5:7" x14ac:dyDescent="0.25">
      <c r="E720" s="3"/>
      <c r="F720" s="3"/>
      <c r="G720" s="3"/>
    </row>
    <row r="721" spans="5:7" x14ac:dyDescent="0.25">
      <c r="E721" s="3"/>
      <c r="F721" s="3"/>
      <c r="G721" s="3"/>
    </row>
    <row r="722" spans="5:7" x14ac:dyDescent="0.25">
      <c r="E722" s="3"/>
      <c r="F722" s="3"/>
      <c r="G722" s="3"/>
    </row>
    <row r="723" spans="5:7" x14ac:dyDescent="0.25">
      <c r="E723" s="3"/>
      <c r="F723" s="3"/>
      <c r="G723" s="3"/>
    </row>
    <row r="724" spans="5:7" x14ac:dyDescent="0.25">
      <c r="E724" s="3"/>
      <c r="F724" s="3"/>
      <c r="G724" s="3"/>
    </row>
    <row r="725" spans="5:7" x14ac:dyDescent="0.25">
      <c r="E725" s="3"/>
      <c r="F725" s="3"/>
      <c r="G725" s="3"/>
    </row>
    <row r="726" spans="5:7" x14ac:dyDescent="0.25">
      <c r="E726" s="3"/>
      <c r="F726" s="3"/>
      <c r="G726" s="3"/>
    </row>
    <row r="727" spans="5:7" x14ac:dyDescent="0.25">
      <c r="E727" s="3"/>
      <c r="F727" s="3"/>
      <c r="G727" s="3"/>
    </row>
    <row r="728" spans="5:7" x14ac:dyDescent="0.25">
      <c r="E728" s="3"/>
      <c r="F728" s="3"/>
      <c r="G728" s="3"/>
    </row>
    <row r="729" spans="5:7" x14ac:dyDescent="0.25">
      <c r="E729" s="3"/>
      <c r="F729" s="3"/>
      <c r="G729" s="3"/>
    </row>
    <row r="730" spans="5:7" x14ac:dyDescent="0.25">
      <c r="E730" s="3"/>
      <c r="F730" s="3"/>
      <c r="G730" s="3"/>
    </row>
    <row r="731" spans="5:7" x14ac:dyDescent="0.25">
      <c r="E731" s="3"/>
      <c r="F731" s="3"/>
      <c r="G731" s="3"/>
    </row>
    <row r="732" spans="5:7" x14ac:dyDescent="0.25">
      <c r="E732" s="3"/>
      <c r="F732" s="3"/>
      <c r="G732" s="3"/>
    </row>
    <row r="733" spans="5:7" x14ac:dyDescent="0.25">
      <c r="E733" s="3"/>
      <c r="F733" s="3"/>
      <c r="G733" s="3"/>
    </row>
    <row r="734" spans="5:7" x14ac:dyDescent="0.25">
      <c r="E734" s="3"/>
      <c r="F734" s="3"/>
      <c r="G734" s="3"/>
    </row>
    <row r="735" spans="5:7" x14ac:dyDescent="0.25">
      <c r="E735" s="3"/>
      <c r="F735" s="3"/>
      <c r="G735" s="3"/>
    </row>
    <row r="736" spans="5:7" x14ac:dyDescent="0.25">
      <c r="E736" s="3"/>
      <c r="F736" s="3"/>
      <c r="G736" s="3"/>
    </row>
    <row r="737" spans="5:7" x14ac:dyDescent="0.25">
      <c r="E737" s="3"/>
      <c r="F737" s="3"/>
      <c r="G737" s="3"/>
    </row>
    <row r="738" spans="5:7" x14ac:dyDescent="0.25">
      <c r="E738" s="3"/>
      <c r="F738" s="3"/>
      <c r="G738" s="3"/>
    </row>
    <row r="739" spans="5:7" x14ac:dyDescent="0.25">
      <c r="E739" s="3"/>
      <c r="F739" s="3"/>
      <c r="G739" s="3"/>
    </row>
    <row r="740" spans="5:7" x14ac:dyDescent="0.25">
      <c r="E740" s="3"/>
      <c r="F740" s="3"/>
      <c r="G740" s="3"/>
    </row>
    <row r="741" spans="5:7" x14ac:dyDescent="0.25">
      <c r="E741" s="3"/>
      <c r="F741" s="3"/>
      <c r="G741" s="3"/>
    </row>
    <row r="742" spans="5:7" x14ac:dyDescent="0.25">
      <c r="E742" s="3"/>
      <c r="F742" s="3"/>
      <c r="G742" s="3"/>
    </row>
    <row r="743" spans="5:7" x14ac:dyDescent="0.25">
      <c r="E743" s="3"/>
      <c r="F743" s="3"/>
      <c r="G743" s="3"/>
    </row>
    <row r="744" spans="5:7" x14ac:dyDescent="0.25">
      <c r="E744" s="3"/>
      <c r="F744" s="3"/>
      <c r="G744" s="3"/>
    </row>
    <row r="745" spans="5:7" x14ac:dyDescent="0.25">
      <c r="E745" s="3"/>
      <c r="F745" s="3"/>
      <c r="G745" s="3"/>
    </row>
    <row r="746" spans="5:7" x14ac:dyDescent="0.25">
      <c r="E746" s="3"/>
      <c r="F746" s="3"/>
      <c r="G746" s="3"/>
    </row>
    <row r="747" spans="5:7" x14ac:dyDescent="0.25">
      <c r="E747" s="3"/>
      <c r="F747" s="3"/>
      <c r="G747" s="3"/>
    </row>
    <row r="748" spans="5:7" x14ac:dyDescent="0.25">
      <c r="E748" s="3"/>
      <c r="F748" s="3"/>
      <c r="G748" s="3"/>
    </row>
    <row r="749" spans="5:7" x14ac:dyDescent="0.25">
      <c r="E749" s="3"/>
      <c r="F749" s="3"/>
      <c r="G749" s="3"/>
    </row>
    <row r="750" spans="5:7" x14ac:dyDescent="0.25">
      <c r="E750" s="3"/>
      <c r="F750" s="3"/>
      <c r="G750" s="3"/>
    </row>
    <row r="751" spans="5:7" x14ac:dyDescent="0.25">
      <c r="E751" s="3"/>
      <c r="F751" s="3"/>
      <c r="G751" s="3"/>
    </row>
    <row r="752" spans="5:7" x14ac:dyDescent="0.25">
      <c r="E752" s="3"/>
      <c r="F752" s="3"/>
      <c r="G752" s="3"/>
    </row>
    <row r="753" spans="5:7" x14ac:dyDescent="0.25">
      <c r="E753" s="3"/>
      <c r="F753" s="3"/>
      <c r="G753" s="3"/>
    </row>
    <row r="754" spans="5:7" x14ac:dyDescent="0.25">
      <c r="E754" s="3"/>
      <c r="F754" s="3"/>
      <c r="G754" s="3"/>
    </row>
    <row r="755" spans="5:7" x14ac:dyDescent="0.25">
      <c r="E755" s="3"/>
      <c r="F755" s="3"/>
      <c r="G755" s="3"/>
    </row>
    <row r="756" spans="5:7" x14ac:dyDescent="0.25">
      <c r="E756" s="3"/>
      <c r="F756" s="3"/>
      <c r="G756" s="3"/>
    </row>
    <row r="757" spans="5:7" x14ac:dyDescent="0.25">
      <c r="E757" s="3"/>
      <c r="F757" s="3"/>
      <c r="G757" s="3"/>
    </row>
    <row r="758" spans="5:7" x14ac:dyDescent="0.25">
      <c r="E758" s="3"/>
      <c r="F758" s="3"/>
      <c r="G758" s="3"/>
    </row>
    <row r="759" spans="5:7" x14ac:dyDescent="0.25">
      <c r="E759" s="3"/>
      <c r="F759" s="3"/>
      <c r="G759" s="3"/>
    </row>
    <row r="760" spans="5:7" x14ac:dyDescent="0.25">
      <c r="E760" s="3"/>
      <c r="F760" s="3"/>
      <c r="G760" s="3"/>
    </row>
    <row r="761" spans="5:7" x14ac:dyDescent="0.25">
      <c r="E761" s="3"/>
      <c r="F761" s="3"/>
      <c r="G761" s="3"/>
    </row>
    <row r="762" spans="5:7" x14ac:dyDescent="0.25">
      <c r="E762" s="3"/>
      <c r="F762" s="3"/>
      <c r="G762" s="3"/>
    </row>
    <row r="763" spans="5:7" x14ac:dyDescent="0.25">
      <c r="E763" s="3"/>
      <c r="F763" s="3"/>
      <c r="G763" s="3"/>
    </row>
    <row r="764" spans="5:7" x14ac:dyDescent="0.25">
      <c r="E764" s="3"/>
      <c r="F764" s="3"/>
      <c r="G764" s="3"/>
    </row>
    <row r="765" spans="5:7" x14ac:dyDescent="0.25">
      <c r="E765" s="3"/>
      <c r="F765" s="3"/>
      <c r="G765" s="3"/>
    </row>
    <row r="766" spans="5:7" x14ac:dyDescent="0.25">
      <c r="E766" s="3"/>
      <c r="F766" s="3"/>
      <c r="G766" s="3"/>
    </row>
    <row r="767" spans="5:7" x14ac:dyDescent="0.25">
      <c r="E767" s="3"/>
      <c r="F767" s="3"/>
      <c r="G767" s="3"/>
    </row>
    <row r="768" spans="5:7" x14ac:dyDescent="0.25">
      <c r="E768" s="3"/>
      <c r="F768" s="3"/>
      <c r="G768" s="3"/>
    </row>
    <row r="769" spans="5:7" x14ac:dyDescent="0.25">
      <c r="E769" s="3"/>
      <c r="F769" s="3"/>
      <c r="G769" s="3"/>
    </row>
    <row r="770" spans="5:7" x14ac:dyDescent="0.25">
      <c r="E770" s="3"/>
      <c r="F770" s="3"/>
      <c r="G770" s="3"/>
    </row>
    <row r="771" spans="5:7" x14ac:dyDescent="0.25">
      <c r="E771" s="3"/>
      <c r="F771" s="3"/>
      <c r="G771" s="3"/>
    </row>
    <row r="772" spans="5:7" x14ac:dyDescent="0.25">
      <c r="E772" s="3"/>
      <c r="F772" s="3"/>
      <c r="G772" s="3"/>
    </row>
    <row r="773" spans="5:7" x14ac:dyDescent="0.25">
      <c r="E773" s="3"/>
      <c r="F773" s="3"/>
      <c r="G773" s="3"/>
    </row>
    <row r="774" spans="5:7" x14ac:dyDescent="0.25">
      <c r="E774" s="3"/>
      <c r="F774" s="3"/>
      <c r="G774" s="3"/>
    </row>
    <row r="775" spans="5:7" x14ac:dyDescent="0.25">
      <c r="E775" s="3"/>
      <c r="F775" s="3"/>
      <c r="G775" s="3"/>
    </row>
    <row r="776" spans="5:7" x14ac:dyDescent="0.25">
      <c r="E776" s="3"/>
      <c r="F776" s="3"/>
      <c r="G776" s="3"/>
    </row>
    <row r="777" spans="5:7" x14ac:dyDescent="0.25">
      <c r="E777" s="3"/>
      <c r="F777" s="3"/>
      <c r="G777" s="3"/>
    </row>
    <row r="778" spans="5:7" x14ac:dyDescent="0.25">
      <c r="E778" s="3"/>
      <c r="F778" s="3"/>
      <c r="G778" s="3"/>
    </row>
    <row r="779" spans="5:7" x14ac:dyDescent="0.25">
      <c r="E779" s="3"/>
      <c r="F779" s="3"/>
      <c r="G779" s="3"/>
    </row>
    <row r="780" spans="5:7" x14ac:dyDescent="0.25">
      <c r="E780" s="3"/>
      <c r="F780" s="3"/>
      <c r="G780" s="3"/>
    </row>
    <row r="781" spans="5:7" x14ac:dyDescent="0.25">
      <c r="E781" s="3"/>
      <c r="F781" s="3"/>
      <c r="G781" s="3"/>
    </row>
    <row r="782" spans="5:7" x14ac:dyDescent="0.25">
      <c r="E782" s="3"/>
      <c r="F782" s="3"/>
      <c r="G782" s="3"/>
    </row>
    <row r="783" spans="5:7" x14ac:dyDescent="0.25">
      <c r="E783" s="3"/>
      <c r="F783" s="3"/>
      <c r="G783" s="3"/>
    </row>
    <row r="784" spans="5:7" x14ac:dyDescent="0.25">
      <c r="E784" s="3"/>
      <c r="F784" s="3"/>
      <c r="G784" s="3"/>
    </row>
    <row r="785" spans="5:7" x14ac:dyDescent="0.25">
      <c r="E785" s="3"/>
      <c r="F785" s="3"/>
      <c r="G785" s="3"/>
    </row>
    <row r="786" spans="5:7" x14ac:dyDescent="0.25">
      <c r="E786" s="3"/>
      <c r="F786" s="3"/>
      <c r="G786" s="3"/>
    </row>
    <row r="787" spans="5:7" x14ac:dyDescent="0.25">
      <c r="E787" s="3"/>
      <c r="F787" s="3"/>
      <c r="G787" s="3"/>
    </row>
    <row r="788" spans="5:7" x14ac:dyDescent="0.25">
      <c r="E788" s="3"/>
      <c r="F788" s="3"/>
      <c r="G788" s="3"/>
    </row>
    <row r="789" spans="5:7" x14ac:dyDescent="0.25">
      <c r="E789" s="3"/>
      <c r="F789" s="3"/>
      <c r="G789" s="3"/>
    </row>
    <row r="790" spans="5:7" x14ac:dyDescent="0.25">
      <c r="E790" s="3"/>
      <c r="F790" s="3"/>
      <c r="G790" s="3"/>
    </row>
    <row r="791" spans="5:7" x14ac:dyDescent="0.25">
      <c r="E791" s="3"/>
      <c r="F791" s="3"/>
      <c r="G791" s="3"/>
    </row>
    <row r="792" spans="5:7" x14ac:dyDescent="0.25">
      <c r="E792" s="3"/>
      <c r="F792" s="3"/>
      <c r="G792" s="3"/>
    </row>
    <row r="793" spans="5:7" x14ac:dyDescent="0.25">
      <c r="E793" s="3"/>
      <c r="F793" s="3"/>
      <c r="G793" s="3"/>
    </row>
    <row r="794" spans="5:7" x14ac:dyDescent="0.25">
      <c r="E794" s="3"/>
      <c r="F794" s="3"/>
      <c r="G794" s="3"/>
    </row>
    <row r="795" spans="5:7" x14ac:dyDescent="0.25">
      <c r="E795" s="3"/>
      <c r="F795" s="3"/>
      <c r="G795" s="3"/>
    </row>
    <row r="796" spans="5:7" x14ac:dyDescent="0.25">
      <c r="E796" s="3"/>
      <c r="F796" s="3"/>
      <c r="G796" s="3"/>
    </row>
    <row r="797" spans="5:7" x14ac:dyDescent="0.25">
      <c r="E797" s="3"/>
      <c r="F797" s="3"/>
      <c r="G797" s="3"/>
    </row>
    <row r="798" spans="5:7" x14ac:dyDescent="0.25">
      <c r="E798" s="3"/>
      <c r="F798" s="3"/>
      <c r="G798" s="3"/>
    </row>
    <row r="799" spans="5:7" x14ac:dyDescent="0.25">
      <c r="E799" s="3"/>
      <c r="F799" s="3"/>
      <c r="G799" s="3"/>
    </row>
    <row r="800" spans="5:7" x14ac:dyDescent="0.25">
      <c r="E800" s="3"/>
      <c r="F800" s="3"/>
      <c r="G800" s="3"/>
    </row>
    <row r="801" spans="5:7" x14ac:dyDescent="0.25">
      <c r="E801" s="3"/>
      <c r="F801" s="3"/>
      <c r="G801" s="3"/>
    </row>
    <row r="802" spans="5:7" x14ac:dyDescent="0.25">
      <c r="E802" s="3"/>
      <c r="F802" s="3"/>
      <c r="G802" s="3"/>
    </row>
    <row r="803" spans="5:7" x14ac:dyDescent="0.25">
      <c r="E803" s="3"/>
      <c r="F803" s="3"/>
      <c r="G803" s="3"/>
    </row>
    <row r="804" spans="5:7" x14ac:dyDescent="0.25">
      <c r="E804" s="3"/>
      <c r="F804" s="3"/>
      <c r="G804" s="3"/>
    </row>
    <row r="805" spans="5:7" x14ac:dyDescent="0.25">
      <c r="E805" s="3"/>
      <c r="F805" s="3"/>
      <c r="G805" s="3"/>
    </row>
    <row r="806" spans="5:7" x14ac:dyDescent="0.25">
      <c r="E806" s="3"/>
      <c r="F806" s="3"/>
      <c r="G806" s="3"/>
    </row>
    <row r="807" spans="5:7" x14ac:dyDescent="0.25">
      <c r="E807" s="3"/>
      <c r="F807" s="3"/>
      <c r="G807" s="3"/>
    </row>
    <row r="808" spans="5:7" x14ac:dyDescent="0.25">
      <c r="E808" s="3"/>
      <c r="F808" s="3"/>
      <c r="G808" s="3"/>
    </row>
    <row r="809" spans="5:7" x14ac:dyDescent="0.25">
      <c r="E809" s="3"/>
      <c r="F809" s="3"/>
      <c r="G809" s="3"/>
    </row>
    <row r="810" spans="5:7" x14ac:dyDescent="0.25">
      <c r="E810" s="3"/>
      <c r="F810" s="3"/>
      <c r="G810" s="3"/>
    </row>
    <row r="811" spans="5:7" x14ac:dyDescent="0.25">
      <c r="E811" s="3"/>
      <c r="F811" s="3"/>
      <c r="G811" s="3"/>
    </row>
    <row r="812" spans="5:7" x14ac:dyDescent="0.25">
      <c r="E812" s="3"/>
      <c r="F812" s="3"/>
      <c r="G812" s="3"/>
    </row>
    <row r="813" spans="5:7" x14ac:dyDescent="0.25">
      <c r="E813" s="3"/>
      <c r="F813" s="3"/>
      <c r="G813" s="3"/>
    </row>
    <row r="814" spans="5:7" x14ac:dyDescent="0.25">
      <c r="E814" s="3"/>
      <c r="F814" s="3"/>
      <c r="G814" s="3"/>
    </row>
    <row r="815" spans="5:7" x14ac:dyDescent="0.25">
      <c r="E815" s="3"/>
      <c r="F815" s="3"/>
      <c r="G815" s="3"/>
    </row>
    <row r="816" spans="5:7" x14ac:dyDescent="0.25">
      <c r="E816" s="3"/>
      <c r="F816" s="3"/>
      <c r="G816" s="3"/>
    </row>
    <row r="817" spans="5:7" x14ac:dyDescent="0.25">
      <c r="E817" s="3"/>
      <c r="F817" s="3"/>
      <c r="G817" s="3"/>
    </row>
    <row r="818" spans="5:7" x14ac:dyDescent="0.25">
      <c r="E818" s="3"/>
      <c r="F818" s="3"/>
      <c r="G818" s="3"/>
    </row>
    <row r="819" spans="5:7" x14ac:dyDescent="0.25">
      <c r="E819" s="3"/>
      <c r="F819" s="3"/>
      <c r="G819" s="3"/>
    </row>
    <row r="820" spans="5:7" x14ac:dyDescent="0.25">
      <c r="E820" s="3"/>
      <c r="F820" s="3"/>
      <c r="G820" s="3"/>
    </row>
    <row r="821" spans="5:7" x14ac:dyDescent="0.25">
      <c r="E821" s="3"/>
      <c r="F821" s="3"/>
      <c r="G821" s="3"/>
    </row>
    <row r="822" spans="5:7" x14ac:dyDescent="0.25">
      <c r="E822" s="3"/>
      <c r="F822" s="3"/>
      <c r="G822" s="3"/>
    </row>
    <row r="823" spans="5:7" x14ac:dyDescent="0.25">
      <c r="E823" s="3"/>
      <c r="F823" s="3"/>
      <c r="G823" s="3"/>
    </row>
    <row r="824" spans="5:7" x14ac:dyDescent="0.25">
      <c r="E824" s="3"/>
      <c r="F824" s="3"/>
      <c r="G824" s="3"/>
    </row>
    <row r="825" spans="5:7" x14ac:dyDescent="0.25">
      <c r="E825" s="3"/>
      <c r="F825" s="3"/>
      <c r="G825" s="3"/>
    </row>
    <row r="826" spans="5:7" x14ac:dyDescent="0.25">
      <c r="E826" s="3"/>
      <c r="F826" s="3"/>
      <c r="G826" s="3"/>
    </row>
    <row r="827" spans="5:7" x14ac:dyDescent="0.25">
      <c r="E827" s="3"/>
      <c r="F827" s="3"/>
      <c r="G827" s="3"/>
    </row>
    <row r="828" spans="5:7" x14ac:dyDescent="0.25">
      <c r="E828" s="3"/>
      <c r="F828" s="3"/>
      <c r="G828" s="3"/>
    </row>
    <row r="829" spans="5:7" x14ac:dyDescent="0.25">
      <c r="E829" s="3"/>
      <c r="F829" s="3"/>
      <c r="G829" s="3"/>
    </row>
    <row r="830" spans="5:7" x14ac:dyDescent="0.25">
      <c r="E830" s="3"/>
      <c r="F830" s="3"/>
      <c r="G830" s="3"/>
    </row>
    <row r="831" spans="5:7" x14ac:dyDescent="0.25">
      <c r="E831" s="3"/>
      <c r="F831" s="3"/>
      <c r="G831" s="3"/>
    </row>
    <row r="832" spans="5:7" x14ac:dyDescent="0.25">
      <c r="E832" s="3"/>
      <c r="F832" s="3"/>
      <c r="G832" s="3"/>
    </row>
    <row r="833" spans="5:7" x14ac:dyDescent="0.25">
      <c r="E833" s="3"/>
      <c r="F833" s="3"/>
      <c r="G833" s="3"/>
    </row>
    <row r="834" spans="5:7" x14ac:dyDescent="0.25">
      <c r="E834" s="3"/>
      <c r="F834" s="3"/>
      <c r="G834" s="3"/>
    </row>
    <row r="835" spans="5:7" x14ac:dyDescent="0.25">
      <c r="E835" s="3"/>
      <c r="F835" s="3"/>
      <c r="G835" s="3"/>
    </row>
    <row r="836" spans="5:7" x14ac:dyDescent="0.25">
      <c r="E836" s="3"/>
      <c r="F836" s="3"/>
      <c r="G836" s="3"/>
    </row>
    <row r="837" spans="5:7" x14ac:dyDescent="0.25">
      <c r="E837" s="3"/>
      <c r="F837" s="3"/>
      <c r="G837" s="3"/>
    </row>
    <row r="838" spans="5:7" x14ac:dyDescent="0.25">
      <c r="E838" s="3"/>
      <c r="F838" s="3"/>
      <c r="G838" s="3"/>
    </row>
    <row r="839" spans="5:7" x14ac:dyDescent="0.25">
      <c r="E839" s="3"/>
      <c r="F839" s="3"/>
      <c r="G839" s="3"/>
    </row>
    <row r="840" spans="5:7" x14ac:dyDescent="0.25">
      <c r="E840" s="3"/>
      <c r="F840" s="3"/>
      <c r="G840" s="3"/>
    </row>
    <row r="841" spans="5:7" x14ac:dyDescent="0.25">
      <c r="E841" s="3"/>
      <c r="F841" s="3"/>
      <c r="G841" s="3"/>
    </row>
    <row r="842" spans="5:7" x14ac:dyDescent="0.25">
      <c r="E842" s="3"/>
      <c r="F842" s="3"/>
      <c r="G842" s="3"/>
    </row>
    <row r="843" spans="5:7" x14ac:dyDescent="0.25">
      <c r="E843" s="3"/>
      <c r="F843" s="3"/>
      <c r="G843" s="3"/>
    </row>
    <row r="844" spans="5:7" x14ac:dyDescent="0.25">
      <c r="E844" s="3"/>
      <c r="F844" s="3"/>
      <c r="G844" s="3"/>
    </row>
    <row r="845" spans="5:7" x14ac:dyDescent="0.25">
      <c r="E845" s="3"/>
      <c r="F845" s="3"/>
      <c r="G845" s="3"/>
    </row>
    <row r="846" spans="5:7" x14ac:dyDescent="0.25">
      <c r="E846" s="3"/>
      <c r="F846" s="3"/>
      <c r="G846" s="3"/>
    </row>
    <row r="847" spans="5:7" x14ac:dyDescent="0.25">
      <c r="E847" s="3"/>
      <c r="F847" s="3"/>
      <c r="G847" s="3"/>
    </row>
    <row r="848" spans="5:7" x14ac:dyDescent="0.25">
      <c r="E848" s="3"/>
      <c r="F848" s="3"/>
      <c r="G848" s="3"/>
    </row>
    <row r="849" spans="5:7" x14ac:dyDescent="0.25">
      <c r="E849" s="3"/>
      <c r="F849" s="3"/>
      <c r="G849" s="3"/>
    </row>
    <row r="850" spans="5:7" x14ac:dyDescent="0.25">
      <c r="E850" s="3"/>
      <c r="F850" s="3"/>
      <c r="G850" s="3"/>
    </row>
    <row r="851" spans="5:7" x14ac:dyDescent="0.25">
      <c r="E851" s="3"/>
      <c r="F851" s="3"/>
      <c r="G851" s="3"/>
    </row>
    <row r="852" spans="5:7" x14ac:dyDescent="0.25">
      <c r="E852" s="3"/>
      <c r="F852" s="3"/>
      <c r="G852" s="3"/>
    </row>
    <row r="853" spans="5:7" x14ac:dyDescent="0.25">
      <c r="E853" s="3"/>
      <c r="F853" s="3"/>
      <c r="G853" s="3"/>
    </row>
    <row r="854" spans="5:7" x14ac:dyDescent="0.25">
      <c r="E854" s="3"/>
      <c r="F854" s="3"/>
      <c r="G854" s="3"/>
    </row>
    <row r="855" spans="5:7" x14ac:dyDescent="0.25">
      <c r="E855" s="3"/>
      <c r="F855" s="3"/>
      <c r="G855" s="3"/>
    </row>
    <row r="856" spans="5:7" x14ac:dyDescent="0.25">
      <c r="E856" s="3"/>
      <c r="F856" s="3"/>
      <c r="G856" s="3"/>
    </row>
    <row r="857" spans="5:7" x14ac:dyDescent="0.25">
      <c r="E857" s="3"/>
      <c r="F857" s="3"/>
      <c r="G857" s="3"/>
    </row>
    <row r="858" spans="5:7" x14ac:dyDescent="0.25">
      <c r="E858" s="3"/>
      <c r="F858" s="3"/>
      <c r="G858" s="3"/>
    </row>
    <row r="859" spans="5:7" x14ac:dyDescent="0.25">
      <c r="E859" s="3"/>
      <c r="F859" s="3"/>
      <c r="G859" s="3"/>
    </row>
    <row r="860" spans="5:7" x14ac:dyDescent="0.25">
      <c r="E860" s="3"/>
      <c r="F860" s="3"/>
      <c r="G860" s="3"/>
    </row>
    <row r="861" spans="5:7" x14ac:dyDescent="0.25">
      <c r="E861" s="3"/>
      <c r="F861" s="3"/>
      <c r="G861" s="3"/>
    </row>
    <row r="862" spans="5:7" x14ac:dyDescent="0.25">
      <c r="E862" s="3"/>
      <c r="F862" s="3"/>
      <c r="G862" s="3"/>
    </row>
    <row r="863" spans="5:7" x14ac:dyDescent="0.25">
      <c r="E863" s="3"/>
      <c r="F863" s="3"/>
      <c r="G863" s="3"/>
    </row>
    <row r="864" spans="5:7" x14ac:dyDescent="0.25">
      <c r="E864" s="3"/>
      <c r="F864" s="3"/>
      <c r="G864" s="3"/>
    </row>
    <row r="865" spans="5:7" x14ac:dyDescent="0.25">
      <c r="E865" s="3"/>
      <c r="F865" s="3"/>
      <c r="G865" s="3"/>
    </row>
    <row r="866" spans="5:7" x14ac:dyDescent="0.25">
      <c r="E866" s="3"/>
      <c r="F866" s="3"/>
      <c r="G866" s="3"/>
    </row>
    <row r="867" spans="5:7" x14ac:dyDescent="0.25">
      <c r="E867" s="3"/>
      <c r="F867" s="3"/>
      <c r="G867" s="3"/>
    </row>
    <row r="868" spans="5:7" x14ac:dyDescent="0.25">
      <c r="E868" s="3"/>
      <c r="F868" s="3"/>
      <c r="G868" s="3"/>
    </row>
    <row r="869" spans="5:7" x14ac:dyDescent="0.25">
      <c r="E869" s="3"/>
      <c r="F869" s="3"/>
      <c r="G869" s="3"/>
    </row>
    <row r="870" spans="5:7" x14ac:dyDescent="0.25">
      <c r="E870" s="3"/>
      <c r="F870" s="3"/>
      <c r="G870" s="3"/>
    </row>
    <row r="871" spans="5:7" x14ac:dyDescent="0.25">
      <c r="E871" s="3"/>
      <c r="F871" s="3"/>
      <c r="G871" s="3"/>
    </row>
    <row r="872" spans="5:7" x14ac:dyDescent="0.25">
      <c r="E872" s="3"/>
      <c r="F872" s="3"/>
      <c r="G872" s="3"/>
    </row>
    <row r="873" spans="5:7" x14ac:dyDescent="0.25">
      <c r="E873" s="3"/>
      <c r="F873" s="3"/>
      <c r="G873" s="3"/>
    </row>
    <row r="874" spans="5:7" x14ac:dyDescent="0.25">
      <c r="E874" s="3"/>
      <c r="F874" s="3"/>
      <c r="G874" s="3"/>
    </row>
    <row r="875" spans="5:7" x14ac:dyDescent="0.25">
      <c r="E875" s="3"/>
      <c r="F875" s="3"/>
      <c r="G875" s="3"/>
    </row>
    <row r="876" spans="5:7" x14ac:dyDescent="0.25">
      <c r="E876" s="3"/>
      <c r="F876" s="3"/>
      <c r="G876" s="3"/>
    </row>
    <row r="877" spans="5:7" x14ac:dyDescent="0.25">
      <c r="E877" s="3"/>
      <c r="F877" s="3"/>
      <c r="G877" s="3"/>
    </row>
    <row r="878" spans="5:7" x14ac:dyDescent="0.25">
      <c r="E878" s="3"/>
      <c r="F878" s="3"/>
      <c r="G878" s="3"/>
    </row>
    <row r="879" spans="5:7" x14ac:dyDescent="0.25">
      <c r="E879" s="3"/>
      <c r="F879" s="3"/>
      <c r="G879" s="3"/>
    </row>
    <row r="880" spans="5:7" x14ac:dyDescent="0.25">
      <c r="E880" s="3"/>
      <c r="F880" s="3"/>
      <c r="G880" s="3"/>
    </row>
    <row r="881" spans="5:7" x14ac:dyDescent="0.25">
      <c r="E881" s="3"/>
      <c r="F881" s="3"/>
      <c r="G881" s="3"/>
    </row>
    <row r="882" spans="5:7" x14ac:dyDescent="0.25">
      <c r="E882" s="3"/>
      <c r="F882" s="3"/>
      <c r="G882" s="3"/>
    </row>
    <row r="883" spans="5:7" x14ac:dyDescent="0.25">
      <c r="E883" s="3"/>
      <c r="F883" s="3"/>
      <c r="G883" s="3"/>
    </row>
    <row r="884" spans="5:7" x14ac:dyDescent="0.25">
      <c r="E884" s="3"/>
      <c r="F884" s="3"/>
      <c r="G884" s="3"/>
    </row>
    <row r="885" spans="5:7" x14ac:dyDescent="0.25">
      <c r="E885" s="3"/>
      <c r="F885" s="3"/>
      <c r="G885" s="3"/>
    </row>
    <row r="886" spans="5:7" x14ac:dyDescent="0.25">
      <c r="E886" s="3"/>
      <c r="F886" s="3"/>
      <c r="G886" s="3"/>
    </row>
    <row r="887" spans="5:7" x14ac:dyDescent="0.25">
      <c r="E887" s="3"/>
      <c r="F887" s="3"/>
      <c r="G887" s="3"/>
    </row>
    <row r="888" spans="5:7" x14ac:dyDescent="0.25">
      <c r="E888" s="3"/>
      <c r="F888" s="3"/>
      <c r="G888" s="3"/>
    </row>
    <row r="889" spans="5:7" x14ac:dyDescent="0.25">
      <c r="E889" s="3"/>
      <c r="F889" s="3"/>
      <c r="G889" s="3"/>
    </row>
    <row r="890" spans="5:7" x14ac:dyDescent="0.25">
      <c r="E890" s="3"/>
      <c r="F890" s="3"/>
      <c r="G890" s="3"/>
    </row>
    <row r="891" spans="5:7" x14ac:dyDescent="0.25">
      <c r="E891" s="3"/>
      <c r="F891" s="3"/>
      <c r="G891" s="3"/>
    </row>
    <row r="892" spans="5:7" x14ac:dyDescent="0.25">
      <c r="E892" s="3"/>
      <c r="F892" s="3"/>
      <c r="G892" s="3"/>
    </row>
    <row r="893" spans="5:7" x14ac:dyDescent="0.25">
      <c r="E893" s="3"/>
      <c r="F893" s="3"/>
      <c r="G893" s="3"/>
    </row>
    <row r="894" spans="5:7" x14ac:dyDescent="0.25">
      <c r="E894" s="3"/>
      <c r="F894" s="3"/>
      <c r="G894" s="3"/>
    </row>
    <row r="895" spans="5:7" x14ac:dyDescent="0.25">
      <c r="E895" s="3"/>
      <c r="F895" s="3"/>
      <c r="G895" s="3"/>
    </row>
    <row r="896" spans="5:7" x14ac:dyDescent="0.25">
      <c r="E896" s="3"/>
      <c r="F896" s="3"/>
      <c r="G896" s="3"/>
    </row>
    <row r="897" spans="5:7" x14ac:dyDescent="0.25">
      <c r="E897" s="3"/>
      <c r="F897" s="3"/>
      <c r="G897" s="3"/>
    </row>
    <row r="898" spans="5:7" x14ac:dyDescent="0.25">
      <c r="E898" s="3"/>
      <c r="F898" s="3"/>
      <c r="G898" s="3"/>
    </row>
    <row r="899" spans="5:7" x14ac:dyDescent="0.25">
      <c r="E899" s="3"/>
      <c r="F899" s="3"/>
      <c r="G899" s="3"/>
    </row>
    <row r="900" spans="5:7" x14ac:dyDescent="0.25">
      <c r="E900" s="3"/>
      <c r="F900" s="3"/>
      <c r="G900" s="3"/>
    </row>
    <row r="901" spans="5:7" x14ac:dyDescent="0.25">
      <c r="E901" s="3"/>
      <c r="F901" s="3"/>
      <c r="G901" s="3"/>
    </row>
    <row r="902" spans="5:7" x14ac:dyDescent="0.25">
      <c r="E902" s="3"/>
      <c r="F902" s="3"/>
      <c r="G902" s="3"/>
    </row>
    <row r="903" spans="5:7" x14ac:dyDescent="0.25">
      <c r="E903" s="3"/>
      <c r="F903" s="3"/>
      <c r="G903" s="3"/>
    </row>
    <row r="904" spans="5:7" x14ac:dyDescent="0.25">
      <c r="E904" s="3"/>
      <c r="F904" s="3"/>
      <c r="G904" s="3"/>
    </row>
    <row r="905" spans="5:7" x14ac:dyDescent="0.25">
      <c r="E905" s="3"/>
      <c r="F905" s="3"/>
      <c r="G905" s="3"/>
    </row>
    <row r="906" spans="5:7" x14ac:dyDescent="0.25">
      <c r="E906" s="3"/>
      <c r="F906" s="3"/>
      <c r="G906" s="3"/>
    </row>
    <row r="907" spans="5:7" x14ac:dyDescent="0.25">
      <c r="E907" s="3"/>
      <c r="F907" s="3"/>
      <c r="G907" s="3"/>
    </row>
    <row r="908" spans="5:7" x14ac:dyDescent="0.25">
      <c r="E908" s="3"/>
      <c r="F908" s="3"/>
      <c r="G908" s="3"/>
    </row>
    <row r="909" spans="5:7" x14ac:dyDescent="0.25">
      <c r="E909" s="3"/>
      <c r="F909" s="3"/>
      <c r="G909" s="3"/>
    </row>
    <row r="910" spans="5:7" x14ac:dyDescent="0.25">
      <c r="E910" s="3"/>
      <c r="F910" s="3"/>
      <c r="G910" s="3"/>
    </row>
    <row r="911" spans="5:7" x14ac:dyDescent="0.25">
      <c r="E911" s="3"/>
      <c r="F911" s="3"/>
      <c r="G911" s="3"/>
    </row>
    <row r="912" spans="5:7" x14ac:dyDescent="0.25">
      <c r="E912" s="3"/>
      <c r="F912" s="3"/>
      <c r="G912" s="3"/>
    </row>
    <row r="913" spans="5:7" x14ac:dyDescent="0.25">
      <c r="E913" s="3"/>
      <c r="F913" s="3"/>
      <c r="G913" s="3"/>
    </row>
    <row r="914" spans="5:7" x14ac:dyDescent="0.25">
      <c r="E914" s="3"/>
      <c r="F914" s="3"/>
      <c r="G914" s="3"/>
    </row>
    <row r="915" spans="5:7" x14ac:dyDescent="0.25">
      <c r="E915" s="3"/>
      <c r="F915" s="3"/>
      <c r="G915" s="3"/>
    </row>
    <row r="916" spans="5:7" x14ac:dyDescent="0.25">
      <c r="E916" s="3"/>
      <c r="F916" s="3"/>
      <c r="G916" s="3"/>
    </row>
    <row r="917" spans="5:7" x14ac:dyDescent="0.25">
      <c r="E917" s="3"/>
      <c r="F917" s="3"/>
      <c r="G917" s="3"/>
    </row>
    <row r="918" spans="5:7" x14ac:dyDescent="0.25">
      <c r="E918" s="3"/>
      <c r="F918" s="3"/>
      <c r="G918" s="3"/>
    </row>
    <row r="919" spans="5:7" x14ac:dyDescent="0.25">
      <c r="E919" s="3"/>
      <c r="F919" s="3"/>
      <c r="G919" s="3"/>
    </row>
    <row r="920" spans="5:7" x14ac:dyDescent="0.25">
      <c r="E920" s="3"/>
      <c r="F920" s="3"/>
      <c r="G920" s="3"/>
    </row>
    <row r="921" spans="5:7" x14ac:dyDescent="0.25">
      <c r="E921" s="3"/>
      <c r="F921" s="3"/>
      <c r="G921" s="3"/>
    </row>
    <row r="922" spans="5:7" x14ac:dyDescent="0.25">
      <c r="E922" s="3"/>
      <c r="F922" s="3"/>
      <c r="G922" s="3"/>
    </row>
    <row r="923" spans="5:7" x14ac:dyDescent="0.25">
      <c r="E923" s="3"/>
      <c r="F923" s="3"/>
      <c r="G923" s="3"/>
    </row>
    <row r="924" spans="5:7" x14ac:dyDescent="0.25">
      <c r="E924" s="3"/>
      <c r="F924" s="3"/>
      <c r="G924" s="3"/>
    </row>
    <row r="925" spans="5:7" x14ac:dyDescent="0.25">
      <c r="E925" s="3"/>
      <c r="F925" s="3"/>
      <c r="G925" s="3"/>
    </row>
    <row r="926" spans="5:7" x14ac:dyDescent="0.25">
      <c r="E926" s="3"/>
      <c r="F926" s="3"/>
      <c r="G926" s="3"/>
    </row>
    <row r="927" spans="5:7" x14ac:dyDescent="0.25">
      <c r="E927" s="3"/>
      <c r="F927" s="3"/>
      <c r="G927" s="3"/>
    </row>
    <row r="928" spans="5:7" x14ac:dyDescent="0.25">
      <c r="E928" s="3"/>
      <c r="F928" s="3"/>
      <c r="G928" s="3"/>
    </row>
    <row r="929" spans="5:7" x14ac:dyDescent="0.25">
      <c r="E929" s="3"/>
      <c r="F929" s="3"/>
      <c r="G929" s="3"/>
    </row>
    <row r="930" spans="5:7" x14ac:dyDescent="0.25">
      <c r="E930" s="3"/>
      <c r="F930" s="3"/>
      <c r="G930" s="3"/>
    </row>
    <row r="931" spans="5:7" x14ac:dyDescent="0.25">
      <c r="E931" s="3"/>
      <c r="F931" s="3"/>
      <c r="G931" s="3"/>
    </row>
    <row r="932" spans="5:7" x14ac:dyDescent="0.25">
      <c r="E932" s="3"/>
      <c r="F932" s="3"/>
      <c r="G932" s="3"/>
    </row>
    <row r="933" spans="5:7" x14ac:dyDescent="0.25">
      <c r="E933" s="3"/>
      <c r="F933" s="3"/>
      <c r="G933" s="3"/>
    </row>
    <row r="934" spans="5:7" x14ac:dyDescent="0.25">
      <c r="E934" s="3"/>
      <c r="F934" s="3"/>
      <c r="G934" s="3"/>
    </row>
    <row r="935" spans="5:7" x14ac:dyDescent="0.25">
      <c r="E935" s="3"/>
      <c r="F935" s="3"/>
      <c r="G935" s="3"/>
    </row>
    <row r="936" spans="5:7" x14ac:dyDescent="0.25">
      <c r="E936" s="3"/>
      <c r="F936" s="3"/>
      <c r="G936" s="3"/>
    </row>
    <row r="937" spans="5:7" x14ac:dyDescent="0.25">
      <c r="E937" s="3"/>
      <c r="F937" s="3"/>
      <c r="G937" s="3"/>
    </row>
    <row r="938" spans="5:7" x14ac:dyDescent="0.25">
      <c r="E938" s="3"/>
      <c r="F938" s="3"/>
      <c r="G938" s="3"/>
    </row>
    <row r="939" spans="5:7" x14ac:dyDescent="0.25">
      <c r="E939" s="3"/>
      <c r="F939" s="3"/>
      <c r="G939" s="3"/>
    </row>
    <row r="940" spans="5:7" x14ac:dyDescent="0.25">
      <c r="E940" s="3"/>
      <c r="F940" s="3"/>
      <c r="G940" s="3"/>
    </row>
    <row r="941" spans="5:7" x14ac:dyDescent="0.25">
      <c r="E941" s="3"/>
      <c r="F941" s="3"/>
      <c r="G941" s="3"/>
    </row>
    <row r="942" spans="5:7" x14ac:dyDescent="0.25">
      <c r="E942" s="3"/>
      <c r="F942" s="3"/>
      <c r="G942" s="3"/>
    </row>
    <row r="943" spans="5:7" x14ac:dyDescent="0.25">
      <c r="E943" s="3"/>
      <c r="F943" s="3"/>
      <c r="G943" s="3"/>
    </row>
    <row r="944" spans="5:7" x14ac:dyDescent="0.25">
      <c r="E944" s="3"/>
      <c r="F944" s="3"/>
      <c r="G944" s="3"/>
    </row>
    <row r="945" spans="5:7" x14ac:dyDescent="0.25">
      <c r="E945" s="3"/>
      <c r="F945" s="3"/>
      <c r="G945" s="3"/>
    </row>
    <row r="946" spans="5:7" x14ac:dyDescent="0.25">
      <c r="E946" s="3"/>
      <c r="F946" s="3"/>
      <c r="G946" s="3"/>
    </row>
    <row r="947" spans="5:7" x14ac:dyDescent="0.25">
      <c r="E947" s="3"/>
      <c r="F947" s="3"/>
      <c r="G947" s="3"/>
    </row>
    <row r="948" spans="5:7" x14ac:dyDescent="0.25">
      <c r="E948" s="3"/>
      <c r="F948" s="3"/>
      <c r="G948" s="3"/>
    </row>
    <row r="949" spans="5:7" x14ac:dyDescent="0.25">
      <c r="E949" s="3"/>
      <c r="F949" s="3"/>
      <c r="G949" s="3"/>
    </row>
    <row r="950" spans="5:7" x14ac:dyDescent="0.25">
      <c r="E950" s="3"/>
      <c r="F950" s="3"/>
      <c r="G950" s="3"/>
    </row>
    <row r="951" spans="5:7" x14ac:dyDescent="0.25">
      <c r="E951" s="3"/>
      <c r="F951" s="3"/>
      <c r="G951" s="3"/>
    </row>
    <row r="952" spans="5:7" x14ac:dyDescent="0.25">
      <c r="E952" s="3"/>
      <c r="F952" s="3"/>
      <c r="G952" s="3"/>
    </row>
    <row r="953" spans="5:7" x14ac:dyDescent="0.25">
      <c r="E953" s="3"/>
      <c r="F953" s="3"/>
      <c r="G953" s="3"/>
    </row>
    <row r="954" spans="5:7" x14ac:dyDescent="0.25">
      <c r="E954" s="3"/>
      <c r="F954" s="3"/>
      <c r="G954" s="3"/>
    </row>
    <row r="955" spans="5:7" x14ac:dyDescent="0.25">
      <c r="E955" s="3"/>
      <c r="F955" s="3"/>
      <c r="G955" s="3"/>
    </row>
    <row r="956" spans="5:7" x14ac:dyDescent="0.25">
      <c r="E956" s="3"/>
      <c r="F956" s="3"/>
      <c r="G956" s="3"/>
    </row>
    <row r="957" spans="5:7" x14ac:dyDescent="0.25">
      <c r="E957" s="3"/>
      <c r="F957" s="3"/>
      <c r="G957" s="3"/>
    </row>
    <row r="958" spans="5:7" x14ac:dyDescent="0.25">
      <c r="E958" s="3"/>
      <c r="F958" s="3"/>
      <c r="G958" s="3"/>
    </row>
    <row r="959" spans="5:7" x14ac:dyDescent="0.25">
      <c r="E959" s="3"/>
      <c r="F959" s="3"/>
      <c r="G959" s="3"/>
    </row>
    <row r="960" spans="5:7" x14ac:dyDescent="0.25">
      <c r="E960" s="3"/>
      <c r="F960" s="3"/>
      <c r="G960" s="3"/>
    </row>
    <row r="961" spans="5:7" x14ac:dyDescent="0.25">
      <c r="E961" s="3"/>
      <c r="F961" s="3"/>
      <c r="G961" s="3"/>
    </row>
    <row r="962" spans="5:7" x14ac:dyDescent="0.25">
      <c r="E962" s="3"/>
      <c r="F962" s="3"/>
      <c r="G962" s="3"/>
    </row>
    <row r="963" spans="5:7" x14ac:dyDescent="0.25">
      <c r="E963" s="3"/>
      <c r="F963" s="3"/>
      <c r="G963" s="3"/>
    </row>
    <row r="964" spans="5:7" x14ac:dyDescent="0.25">
      <c r="E964" s="3"/>
      <c r="F964" s="3"/>
      <c r="G964" s="3"/>
    </row>
    <row r="965" spans="5:7" x14ac:dyDescent="0.25">
      <c r="E965" s="3"/>
      <c r="F965" s="3"/>
      <c r="G965" s="3"/>
    </row>
    <row r="966" spans="5:7" x14ac:dyDescent="0.25">
      <c r="E966" s="3"/>
      <c r="F966" s="3"/>
      <c r="G966" s="3"/>
    </row>
    <row r="967" spans="5:7" x14ac:dyDescent="0.25">
      <c r="E967" s="3"/>
      <c r="F967" s="3"/>
      <c r="G967" s="3"/>
    </row>
    <row r="968" spans="5:7" x14ac:dyDescent="0.25">
      <c r="E968" s="3"/>
      <c r="F968" s="3"/>
      <c r="G968" s="3"/>
    </row>
    <row r="969" spans="5:7" x14ac:dyDescent="0.25">
      <c r="E969" s="3"/>
      <c r="F969" s="3"/>
      <c r="G969" s="3"/>
    </row>
    <row r="970" spans="5:7" x14ac:dyDescent="0.25">
      <c r="E970" s="3"/>
      <c r="F970" s="3"/>
      <c r="G970" s="3"/>
    </row>
    <row r="971" spans="5:7" x14ac:dyDescent="0.25">
      <c r="E971" s="3"/>
      <c r="F971" s="3"/>
      <c r="G971" s="3"/>
    </row>
    <row r="972" spans="5:7" x14ac:dyDescent="0.25">
      <c r="E972" s="3"/>
      <c r="F972" s="3"/>
      <c r="G972" s="3"/>
    </row>
    <row r="973" spans="5:7" x14ac:dyDescent="0.25">
      <c r="E973" s="3"/>
      <c r="F973" s="3"/>
      <c r="G973" s="3"/>
    </row>
    <row r="974" spans="5:7" x14ac:dyDescent="0.25">
      <c r="E974" s="3"/>
      <c r="F974" s="3"/>
      <c r="G974" s="3"/>
    </row>
    <row r="975" spans="5:7" x14ac:dyDescent="0.25">
      <c r="E975" s="3"/>
      <c r="F975" s="3"/>
      <c r="G975" s="3"/>
    </row>
    <row r="976" spans="5:7" x14ac:dyDescent="0.25">
      <c r="E976" s="3"/>
      <c r="F976" s="3"/>
      <c r="G976" s="3"/>
    </row>
    <row r="977" spans="5:7" x14ac:dyDescent="0.25">
      <c r="E977" s="3"/>
      <c r="F977" s="3"/>
      <c r="G977" s="3"/>
    </row>
    <row r="978" spans="5:7" x14ac:dyDescent="0.25">
      <c r="E978" s="3"/>
      <c r="F978" s="3"/>
      <c r="G978" s="3"/>
    </row>
    <row r="979" spans="5:7" x14ac:dyDescent="0.25">
      <c r="E979" s="3"/>
      <c r="F979" s="3"/>
      <c r="G979" s="3"/>
    </row>
    <row r="980" spans="5:7" x14ac:dyDescent="0.25">
      <c r="E980" s="3"/>
      <c r="F980" s="3"/>
      <c r="G980" s="3"/>
    </row>
    <row r="981" spans="5:7" x14ac:dyDescent="0.25">
      <c r="E981" s="3"/>
      <c r="F981" s="3"/>
      <c r="G981" s="3"/>
    </row>
    <row r="982" spans="5:7" x14ac:dyDescent="0.25">
      <c r="E982" s="3"/>
      <c r="F982" s="3"/>
      <c r="G982" s="3"/>
    </row>
    <row r="983" spans="5:7" x14ac:dyDescent="0.25">
      <c r="E983" s="3"/>
      <c r="F983" s="3"/>
      <c r="G983" s="3"/>
    </row>
    <row r="984" spans="5:7" x14ac:dyDescent="0.25">
      <c r="E984" s="3"/>
      <c r="F984" s="3"/>
      <c r="G984" s="3"/>
    </row>
    <row r="985" spans="5:7" x14ac:dyDescent="0.25">
      <c r="E985" s="3"/>
      <c r="F985" s="3"/>
      <c r="G985" s="3"/>
    </row>
    <row r="986" spans="5:7" x14ac:dyDescent="0.25">
      <c r="E986" s="3"/>
      <c r="F986" s="3"/>
      <c r="G986" s="3"/>
    </row>
    <row r="987" spans="5:7" x14ac:dyDescent="0.25">
      <c r="E987" s="3"/>
      <c r="F987" s="3"/>
      <c r="G987" s="3"/>
    </row>
    <row r="988" spans="5:7" x14ac:dyDescent="0.25">
      <c r="E988" s="3"/>
      <c r="F988" s="3"/>
      <c r="G988" s="3"/>
    </row>
    <row r="989" spans="5:7" x14ac:dyDescent="0.25">
      <c r="E989" s="3"/>
      <c r="F989" s="3"/>
      <c r="G989" s="3"/>
    </row>
    <row r="990" spans="5:7" x14ac:dyDescent="0.25">
      <c r="E990" s="3"/>
      <c r="F990" s="3"/>
      <c r="G990" s="3"/>
    </row>
    <row r="991" spans="5:7" x14ac:dyDescent="0.25">
      <c r="E991" s="3"/>
      <c r="F991" s="3"/>
      <c r="G991" s="3"/>
    </row>
    <row r="992" spans="5:7" x14ac:dyDescent="0.25">
      <c r="E992" s="3"/>
      <c r="F992" s="3"/>
      <c r="G992" s="3"/>
    </row>
    <row r="993" spans="5:7" x14ac:dyDescent="0.25">
      <c r="E993" s="3"/>
      <c r="F993" s="3"/>
      <c r="G993" s="3"/>
    </row>
    <row r="994" spans="5:7" x14ac:dyDescent="0.25">
      <c r="E994" s="3"/>
      <c r="F994" s="3"/>
      <c r="G994" s="3"/>
    </row>
    <row r="995" spans="5:7" x14ac:dyDescent="0.25">
      <c r="E995" s="3"/>
      <c r="F995" s="3"/>
      <c r="G995" s="3"/>
    </row>
    <row r="996" spans="5:7" x14ac:dyDescent="0.25">
      <c r="E996" s="3"/>
      <c r="F996" s="3"/>
      <c r="G996" s="3"/>
    </row>
    <row r="997" spans="5:7" x14ac:dyDescent="0.25">
      <c r="E997" s="3"/>
      <c r="F997" s="3"/>
      <c r="G997" s="3"/>
    </row>
    <row r="998" spans="5:7" x14ac:dyDescent="0.25">
      <c r="E998" s="3"/>
      <c r="F998" s="3"/>
      <c r="G998" s="3"/>
    </row>
    <row r="999" spans="5:7" x14ac:dyDescent="0.25">
      <c r="E999" s="3"/>
      <c r="F999" s="3"/>
      <c r="G999" s="3"/>
    </row>
    <row r="1000" spans="5:7" x14ac:dyDescent="0.25">
      <c r="E1000" s="3"/>
      <c r="F1000" s="3"/>
      <c r="G1000" s="3"/>
    </row>
    <row r="1001" spans="5:7" x14ac:dyDescent="0.25">
      <c r="E1001" s="3"/>
      <c r="F1001" s="3"/>
      <c r="G1001" s="3"/>
    </row>
    <row r="1002" spans="5:7" x14ac:dyDescent="0.25">
      <c r="E1002" s="3"/>
      <c r="F1002" s="3"/>
      <c r="G1002" s="3"/>
    </row>
    <row r="1003" spans="5:7" x14ac:dyDescent="0.25">
      <c r="E1003" s="3"/>
      <c r="F1003" s="3"/>
      <c r="G1003" s="3"/>
    </row>
    <row r="1004" spans="5:7" x14ac:dyDescent="0.25">
      <c r="E1004" s="3"/>
      <c r="F1004" s="3"/>
      <c r="G1004" s="3"/>
    </row>
    <row r="1005" spans="5:7" x14ac:dyDescent="0.25">
      <c r="E1005" s="3"/>
      <c r="F1005" s="3"/>
      <c r="G1005" s="3"/>
    </row>
    <row r="1006" spans="5:7" x14ac:dyDescent="0.25">
      <c r="E1006" s="3"/>
      <c r="F1006" s="3"/>
      <c r="G1006" s="3"/>
    </row>
    <row r="1007" spans="5:7" x14ac:dyDescent="0.25">
      <c r="E1007" s="3"/>
      <c r="F1007" s="3"/>
      <c r="G1007" s="3"/>
    </row>
    <row r="1008" spans="5:7" x14ac:dyDescent="0.25">
      <c r="E1008" s="3"/>
      <c r="F1008" s="3"/>
      <c r="G1008" s="3"/>
    </row>
    <row r="1009" spans="5:7" x14ac:dyDescent="0.25">
      <c r="E1009" s="3"/>
      <c r="F1009" s="3"/>
      <c r="G1009" s="3"/>
    </row>
    <row r="1010" spans="5:7" x14ac:dyDescent="0.25">
      <c r="E1010" s="3"/>
      <c r="F1010" s="3"/>
      <c r="G1010" s="3"/>
    </row>
    <row r="1011" spans="5:7" x14ac:dyDescent="0.25">
      <c r="E1011" s="3"/>
      <c r="F1011" s="3"/>
      <c r="G1011" s="3"/>
    </row>
    <row r="1012" spans="5:7" x14ac:dyDescent="0.25">
      <c r="E1012" s="3"/>
      <c r="F1012" s="3"/>
      <c r="G1012" s="3"/>
    </row>
    <row r="1013" spans="5:7" x14ac:dyDescent="0.25">
      <c r="E1013" s="3"/>
      <c r="F1013" s="3"/>
      <c r="G1013" s="3"/>
    </row>
    <row r="1014" spans="5:7" x14ac:dyDescent="0.25">
      <c r="E1014" s="3"/>
      <c r="F1014" s="3"/>
      <c r="G1014" s="3"/>
    </row>
    <row r="1015" spans="5:7" x14ac:dyDescent="0.25">
      <c r="E1015" s="3"/>
      <c r="F1015" s="3"/>
      <c r="G1015" s="3"/>
    </row>
    <row r="1016" spans="5:7" x14ac:dyDescent="0.25">
      <c r="E1016" s="3"/>
      <c r="F1016" s="3"/>
      <c r="G1016" s="3"/>
    </row>
    <row r="1017" spans="5:7" x14ac:dyDescent="0.25">
      <c r="E1017" s="3"/>
      <c r="F1017" s="3"/>
      <c r="G1017" s="3"/>
    </row>
    <row r="1018" spans="5:7" x14ac:dyDescent="0.25">
      <c r="E1018" s="3"/>
      <c r="F1018" s="3"/>
      <c r="G1018" s="3"/>
    </row>
    <row r="1019" spans="5:7" x14ac:dyDescent="0.25">
      <c r="E1019" s="3"/>
      <c r="F1019" s="3"/>
      <c r="G1019" s="3"/>
    </row>
    <row r="1020" spans="5:7" x14ac:dyDescent="0.25">
      <c r="E1020" s="3"/>
      <c r="F1020" s="3"/>
      <c r="G1020" s="3"/>
    </row>
    <row r="1021" spans="5:7" x14ac:dyDescent="0.25">
      <c r="E1021" s="3"/>
      <c r="F1021" s="3"/>
      <c r="G1021" s="3"/>
    </row>
    <row r="1022" spans="5:7" x14ac:dyDescent="0.25">
      <c r="E1022" s="3"/>
      <c r="F1022" s="3"/>
      <c r="G1022" s="3"/>
    </row>
    <row r="1023" spans="5:7" x14ac:dyDescent="0.25">
      <c r="E1023" s="3"/>
      <c r="F1023" s="3"/>
      <c r="G1023" s="3"/>
    </row>
    <row r="1024" spans="5:7" x14ac:dyDescent="0.25">
      <c r="E1024" s="3"/>
      <c r="F1024" s="3"/>
      <c r="G1024" s="3"/>
    </row>
    <row r="1025" spans="5:7" x14ac:dyDescent="0.25">
      <c r="E1025" s="3"/>
      <c r="F1025" s="3"/>
      <c r="G1025" s="3"/>
    </row>
    <row r="1026" spans="5:7" x14ac:dyDescent="0.25">
      <c r="E1026" s="3"/>
      <c r="F1026" s="3"/>
      <c r="G1026" s="3"/>
    </row>
    <row r="1027" spans="5:7" x14ac:dyDescent="0.25">
      <c r="E1027" s="3"/>
      <c r="F1027" s="3"/>
      <c r="G1027" s="3"/>
    </row>
    <row r="1028" spans="5:7" x14ac:dyDescent="0.25">
      <c r="E1028" s="3"/>
      <c r="F1028" s="3"/>
      <c r="G1028" s="3"/>
    </row>
    <row r="1029" spans="5:7" x14ac:dyDescent="0.25">
      <c r="E1029" s="3"/>
      <c r="F1029" s="3"/>
      <c r="G1029" s="3"/>
    </row>
    <row r="1030" spans="5:7" x14ac:dyDescent="0.25">
      <c r="E1030" s="3"/>
      <c r="F1030" s="3"/>
      <c r="G1030" s="3"/>
    </row>
    <row r="1031" spans="5:7" x14ac:dyDescent="0.25">
      <c r="E1031" s="3"/>
      <c r="F1031" s="3"/>
      <c r="G1031" s="3"/>
    </row>
    <row r="1032" spans="5:7" x14ac:dyDescent="0.25">
      <c r="E1032" s="3"/>
      <c r="F1032" s="3"/>
      <c r="G1032" s="3"/>
    </row>
    <row r="1033" spans="5:7" x14ac:dyDescent="0.25">
      <c r="E1033" s="3"/>
      <c r="F1033" s="3"/>
      <c r="G1033" s="3"/>
    </row>
    <row r="1034" spans="5:7" x14ac:dyDescent="0.25">
      <c r="E1034" s="3"/>
      <c r="F1034" s="3"/>
      <c r="G1034" s="3"/>
    </row>
    <row r="1035" spans="5:7" x14ac:dyDescent="0.25">
      <c r="E1035" s="3"/>
      <c r="F1035" s="3"/>
      <c r="G1035" s="3"/>
    </row>
    <row r="1036" spans="5:7" x14ac:dyDescent="0.25">
      <c r="E1036" s="3"/>
      <c r="F1036" s="3"/>
      <c r="G1036" s="3"/>
    </row>
    <row r="1037" spans="5:7" x14ac:dyDescent="0.25">
      <c r="E1037" s="3"/>
      <c r="F1037" s="3"/>
      <c r="G1037" s="3"/>
    </row>
    <row r="1038" spans="5:7" x14ac:dyDescent="0.25">
      <c r="E1038" s="3"/>
      <c r="F1038" s="3"/>
      <c r="G1038" s="3"/>
    </row>
    <row r="1039" spans="5:7" x14ac:dyDescent="0.25">
      <c r="E1039" s="3"/>
      <c r="F1039" s="3"/>
      <c r="G1039" s="3"/>
    </row>
    <row r="1040" spans="5:7" x14ac:dyDescent="0.25">
      <c r="E1040" s="3"/>
      <c r="F1040" s="3"/>
      <c r="G1040" s="3"/>
    </row>
    <row r="1041" spans="5:7" x14ac:dyDescent="0.25">
      <c r="E1041" s="3"/>
      <c r="F1041" s="3"/>
      <c r="G1041" s="3"/>
    </row>
    <row r="1042" spans="5:7" x14ac:dyDescent="0.25">
      <c r="E1042" s="3"/>
      <c r="F1042" s="3"/>
      <c r="G1042" s="3"/>
    </row>
    <row r="1043" spans="5:7" x14ac:dyDescent="0.25">
      <c r="E1043" s="3"/>
      <c r="F1043" s="3"/>
      <c r="G1043" s="3"/>
    </row>
    <row r="1044" spans="5:7" x14ac:dyDescent="0.25">
      <c r="E1044" s="3"/>
      <c r="F1044" s="3"/>
      <c r="G1044" s="3"/>
    </row>
    <row r="1045" spans="5:7" x14ac:dyDescent="0.25">
      <c r="E1045" s="3"/>
      <c r="F1045" s="3"/>
      <c r="G1045" s="3"/>
    </row>
    <row r="1046" spans="5:7" x14ac:dyDescent="0.25">
      <c r="E1046" s="3"/>
      <c r="F1046" s="3"/>
      <c r="G1046" s="3"/>
    </row>
    <row r="1047" spans="5:7" x14ac:dyDescent="0.25">
      <c r="E1047" s="3"/>
      <c r="F1047" s="3"/>
      <c r="G1047" s="3"/>
    </row>
    <row r="1048" spans="5:7" x14ac:dyDescent="0.25">
      <c r="E1048" s="3"/>
      <c r="F1048" s="3"/>
      <c r="G1048" s="3"/>
    </row>
    <row r="1049" spans="5:7" x14ac:dyDescent="0.25">
      <c r="E1049" s="3"/>
      <c r="F1049" s="3"/>
      <c r="G1049" s="3"/>
    </row>
    <row r="1050" spans="5:7" x14ac:dyDescent="0.25">
      <c r="E1050" s="3"/>
      <c r="F1050" s="3"/>
      <c r="G1050" s="3"/>
    </row>
    <row r="1051" spans="5:7" x14ac:dyDescent="0.25">
      <c r="E1051" s="3"/>
      <c r="F1051" s="3"/>
      <c r="G1051" s="3"/>
    </row>
    <row r="1052" spans="5:7" x14ac:dyDescent="0.25">
      <c r="E1052" s="3"/>
      <c r="F1052" s="3"/>
      <c r="G1052" s="3"/>
    </row>
    <row r="1053" spans="5:7" x14ac:dyDescent="0.25">
      <c r="E1053" s="3"/>
      <c r="F1053" s="3"/>
      <c r="G1053" s="3"/>
    </row>
    <row r="1054" spans="5:7" x14ac:dyDescent="0.25">
      <c r="E1054" s="3"/>
      <c r="F1054" s="3"/>
      <c r="G1054" s="3"/>
    </row>
    <row r="1055" spans="5:7" x14ac:dyDescent="0.25">
      <c r="E1055" s="3"/>
      <c r="F1055" s="3"/>
      <c r="G1055" s="3"/>
    </row>
    <row r="1056" spans="5:7" x14ac:dyDescent="0.25">
      <c r="E1056" s="3"/>
      <c r="F1056" s="3"/>
      <c r="G1056" s="3"/>
    </row>
    <row r="1057" spans="5:7" x14ac:dyDescent="0.25">
      <c r="E1057" s="3"/>
      <c r="F1057" s="3"/>
      <c r="G1057" s="3"/>
    </row>
    <row r="1058" spans="5:7" x14ac:dyDescent="0.25">
      <c r="E1058" s="3"/>
      <c r="F1058" s="3"/>
      <c r="G1058" s="3"/>
    </row>
    <row r="1059" spans="5:7" x14ac:dyDescent="0.25">
      <c r="E1059" s="3"/>
      <c r="F1059" s="3"/>
      <c r="G1059" s="3"/>
    </row>
    <row r="1060" spans="5:7" x14ac:dyDescent="0.25">
      <c r="E1060" s="3"/>
      <c r="F1060" s="3"/>
      <c r="G1060" s="3"/>
    </row>
    <row r="1061" spans="5:7" x14ac:dyDescent="0.25">
      <c r="E1061" s="3"/>
      <c r="F1061" s="3"/>
      <c r="G1061" s="3"/>
    </row>
    <row r="1062" spans="5:7" x14ac:dyDescent="0.25">
      <c r="E1062" s="3"/>
      <c r="F1062" s="3"/>
      <c r="G1062" s="3"/>
    </row>
    <row r="1063" spans="5:7" x14ac:dyDescent="0.25">
      <c r="E1063" s="3"/>
      <c r="F1063" s="3"/>
      <c r="G1063" s="3"/>
    </row>
    <row r="1064" spans="5:7" x14ac:dyDescent="0.25">
      <c r="E1064" s="3"/>
      <c r="F1064" s="3"/>
      <c r="G1064" s="3"/>
    </row>
    <row r="1065" spans="5:7" x14ac:dyDescent="0.25">
      <c r="E1065" s="3"/>
      <c r="F1065" s="3"/>
      <c r="G1065" s="3"/>
    </row>
    <row r="1066" spans="5:7" x14ac:dyDescent="0.25">
      <c r="E1066" s="3"/>
      <c r="F1066" s="3"/>
      <c r="G1066" s="3"/>
    </row>
    <row r="1067" spans="5:7" x14ac:dyDescent="0.25">
      <c r="E1067" s="3"/>
      <c r="F1067" s="3"/>
      <c r="G1067" s="3"/>
    </row>
    <row r="1068" spans="5:7" x14ac:dyDescent="0.25">
      <c r="E1068" s="3"/>
      <c r="F1068" s="3"/>
      <c r="G1068" s="3"/>
    </row>
    <row r="1069" spans="5:7" x14ac:dyDescent="0.25">
      <c r="E1069" s="3"/>
      <c r="F1069" s="3"/>
      <c r="G1069" s="3"/>
    </row>
    <row r="1070" spans="5:7" x14ac:dyDescent="0.25">
      <c r="E1070" s="3"/>
      <c r="F1070" s="3"/>
      <c r="G1070" s="3"/>
    </row>
    <row r="1071" spans="5:7" x14ac:dyDescent="0.25">
      <c r="E1071" s="3"/>
      <c r="F1071" s="3"/>
      <c r="G1071" s="3"/>
    </row>
    <row r="1072" spans="5:7" x14ac:dyDescent="0.25">
      <c r="E1072" s="3"/>
      <c r="F1072" s="3"/>
      <c r="G1072" s="3"/>
    </row>
    <row r="1073" spans="5:7" x14ac:dyDescent="0.25">
      <c r="E1073" s="3"/>
      <c r="F1073" s="3"/>
      <c r="G1073" s="3"/>
    </row>
    <row r="1074" spans="5:7" x14ac:dyDescent="0.25">
      <c r="E1074" s="3"/>
      <c r="F1074" s="3"/>
      <c r="G1074" s="3"/>
    </row>
    <row r="1075" spans="5:7" x14ac:dyDescent="0.25">
      <c r="E1075" s="3"/>
      <c r="F1075" s="3"/>
      <c r="G1075" s="3"/>
    </row>
    <row r="1076" spans="5:7" x14ac:dyDescent="0.25">
      <c r="E1076" s="3"/>
      <c r="F1076" s="3"/>
      <c r="G1076" s="3"/>
    </row>
    <row r="1077" spans="5:7" x14ac:dyDescent="0.25">
      <c r="E1077" s="3"/>
      <c r="F1077" s="3"/>
      <c r="G1077" s="3"/>
    </row>
    <row r="1078" spans="5:7" x14ac:dyDescent="0.25">
      <c r="E1078" s="3"/>
      <c r="F1078" s="3"/>
      <c r="G1078" s="3"/>
    </row>
    <row r="1079" spans="5:7" x14ac:dyDescent="0.25">
      <c r="E1079" s="3"/>
      <c r="F1079" s="3"/>
      <c r="G1079" s="3"/>
    </row>
    <row r="1080" spans="5:7" x14ac:dyDescent="0.25">
      <c r="E1080" s="3"/>
      <c r="F1080" s="3"/>
      <c r="G1080" s="3"/>
    </row>
    <row r="1081" spans="5:7" x14ac:dyDescent="0.25">
      <c r="E1081" s="3"/>
      <c r="F1081" s="3"/>
      <c r="G1081" s="3"/>
    </row>
    <row r="1082" spans="5:7" x14ac:dyDescent="0.25">
      <c r="E1082" s="3"/>
      <c r="F1082" s="3"/>
      <c r="G1082" s="3"/>
    </row>
    <row r="1083" spans="5:7" x14ac:dyDescent="0.25">
      <c r="E1083" s="3"/>
      <c r="F1083" s="3"/>
      <c r="G1083" s="3"/>
    </row>
    <row r="1084" spans="5:7" x14ac:dyDescent="0.25">
      <c r="E1084" s="3"/>
      <c r="F1084" s="3"/>
      <c r="G1084" s="3"/>
    </row>
    <row r="1085" spans="5:7" x14ac:dyDescent="0.25">
      <c r="E1085" s="3"/>
      <c r="F1085" s="3"/>
      <c r="G1085" s="3"/>
    </row>
    <row r="1086" spans="5:7" x14ac:dyDescent="0.25">
      <c r="E1086" s="3"/>
      <c r="F1086" s="3"/>
      <c r="G1086" s="3"/>
    </row>
    <row r="1087" spans="5:7" x14ac:dyDescent="0.25">
      <c r="E1087" s="3"/>
      <c r="F1087" s="3"/>
      <c r="G1087" s="3"/>
    </row>
    <row r="1088" spans="5:7" x14ac:dyDescent="0.25">
      <c r="E1088" s="3"/>
      <c r="F1088" s="3"/>
      <c r="G1088" s="3"/>
    </row>
    <row r="1089" spans="5:7" x14ac:dyDescent="0.25">
      <c r="E1089" s="3"/>
      <c r="F1089" s="3"/>
      <c r="G1089" s="3"/>
    </row>
    <row r="1090" spans="5:7" x14ac:dyDescent="0.25">
      <c r="E1090" s="3"/>
      <c r="F1090" s="3"/>
      <c r="G1090" s="3"/>
    </row>
    <row r="1091" spans="5:7" x14ac:dyDescent="0.25">
      <c r="E1091" s="3"/>
      <c r="F1091" s="3"/>
      <c r="G1091" s="3"/>
    </row>
    <row r="1092" spans="5:7" x14ac:dyDescent="0.25">
      <c r="E1092" s="3"/>
      <c r="F1092" s="3"/>
      <c r="G1092" s="3"/>
    </row>
    <row r="1093" spans="5:7" x14ac:dyDescent="0.25">
      <c r="E1093" s="3"/>
      <c r="F1093" s="3"/>
      <c r="G1093" s="3"/>
    </row>
    <row r="1094" spans="5:7" x14ac:dyDescent="0.25">
      <c r="E1094" s="3"/>
      <c r="F1094" s="3"/>
      <c r="G1094" s="3"/>
    </row>
    <row r="1095" spans="5:7" x14ac:dyDescent="0.25">
      <c r="E1095" s="3"/>
      <c r="F1095" s="3"/>
      <c r="G1095" s="3"/>
    </row>
    <row r="1096" spans="5:7" x14ac:dyDescent="0.25">
      <c r="E1096" s="3"/>
      <c r="F1096" s="3"/>
      <c r="G1096" s="3"/>
    </row>
    <row r="1097" spans="5:7" x14ac:dyDescent="0.25">
      <c r="E1097" s="3"/>
      <c r="F1097" s="3"/>
      <c r="G1097" s="3"/>
    </row>
    <row r="1098" spans="5:7" x14ac:dyDescent="0.25">
      <c r="E1098" s="3"/>
      <c r="F1098" s="3"/>
      <c r="G1098" s="3"/>
    </row>
    <row r="1099" spans="5:7" x14ac:dyDescent="0.25">
      <c r="E1099" s="3"/>
      <c r="F1099" s="3"/>
      <c r="G1099" s="3"/>
    </row>
    <row r="1100" spans="5:7" x14ac:dyDescent="0.25">
      <c r="E1100" s="3"/>
      <c r="F1100" s="3"/>
      <c r="G1100" s="3"/>
    </row>
    <row r="1101" spans="5:7" x14ac:dyDescent="0.25">
      <c r="E1101" s="3"/>
      <c r="F1101" s="3"/>
      <c r="G1101" s="3"/>
    </row>
    <row r="1102" spans="5:7" x14ac:dyDescent="0.25">
      <c r="E1102" s="3"/>
      <c r="F1102" s="3"/>
      <c r="G1102" s="3"/>
    </row>
    <row r="1103" spans="5:7" x14ac:dyDescent="0.25">
      <c r="E1103" s="3"/>
      <c r="F1103" s="3"/>
      <c r="G1103" s="3"/>
    </row>
    <row r="1104" spans="5:7" x14ac:dyDescent="0.25">
      <c r="E1104" s="3"/>
      <c r="F1104" s="3"/>
      <c r="G1104" s="3"/>
    </row>
    <row r="1105" spans="5:7" x14ac:dyDescent="0.25">
      <c r="E1105" s="3"/>
      <c r="F1105" s="3"/>
      <c r="G1105" s="3"/>
    </row>
    <row r="1106" spans="5:7" x14ac:dyDescent="0.25">
      <c r="E1106" s="3"/>
      <c r="F1106" s="3"/>
      <c r="G1106" s="3"/>
    </row>
    <row r="1107" spans="5:7" x14ac:dyDescent="0.25">
      <c r="E1107" s="3"/>
      <c r="F1107" s="3"/>
      <c r="G1107" s="3"/>
    </row>
    <row r="1108" spans="5:7" x14ac:dyDescent="0.25">
      <c r="E1108" s="3"/>
      <c r="F1108" s="3"/>
      <c r="G1108" s="3"/>
    </row>
    <row r="1109" spans="5:7" x14ac:dyDescent="0.25">
      <c r="E1109" s="3"/>
      <c r="F1109" s="3"/>
      <c r="G1109" s="3"/>
    </row>
    <row r="1110" spans="5:7" x14ac:dyDescent="0.25">
      <c r="E1110" s="3"/>
      <c r="F1110" s="3"/>
      <c r="G1110" s="3"/>
    </row>
    <row r="1111" spans="5:7" x14ac:dyDescent="0.25">
      <c r="E1111" s="3"/>
      <c r="F1111" s="3"/>
      <c r="G1111" s="3"/>
    </row>
    <row r="1112" spans="5:7" x14ac:dyDescent="0.25">
      <c r="E1112" s="3"/>
      <c r="F1112" s="3"/>
      <c r="G1112" s="3"/>
    </row>
    <row r="1113" spans="5:7" x14ac:dyDescent="0.25">
      <c r="E1113" s="3"/>
      <c r="F1113" s="3"/>
      <c r="G1113" s="3"/>
    </row>
    <row r="1114" spans="5:7" x14ac:dyDescent="0.25">
      <c r="E1114" s="3"/>
      <c r="F1114" s="3"/>
      <c r="G1114" s="3"/>
    </row>
    <row r="1115" spans="5:7" x14ac:dyDescent="0.25">
      <c r="E1115" s="3"/>
      <c r="F1115" s="3"/>
      <c r="G1115" s="3"/>
    </row>
    <row r="1116" spans="5:7" x14ac:dyDescent="0.25">
      <c r="E1116" s="3"/>
      <c r="F1116" s="3"/>
      <c r="G1116" s="3"/>
    </row>
    <row r="1117" spans="5:7" x14ac:dyDescent="0.25">
      <c r="E1117" s="3"/>
      <c r="F1117" s="3"/>
      <c r="G1117" s="3"/>
    </row>
    <row r="1118" spans="5:7" x14ac:dyDescent="0.25">
      <c r="E1118" s="3"/>
      <c r="F1118" s="3"/>
      <c r="G1118" s="3"/>
    </row>
    <row r="1119" spans="5:7" x14ac:dyDescent="0.25">
      <c r="E1119" s="3"/>
      <c r="F1119" s="3"/>
      <c r="G1119" s="3"/>
    </row>
    <row r="1120" spans="5:7" x14ac:dyDescent="0.25">
      <c r="E1120" s="3"/>
      <c r="F1120" s="3"/>
      <c r="G1120" s="3"/>
    </row>
    <row r="1121" spans="5:7" x14ac:dyDescent="0.25">
      <c r="E1121" s="3"/>
      <c r="F1121" s="3"/>
      <c r="G1121" s="3"/>
    </row>
    <row r="1122" spans="5:7" x14ac:dyDescent="0.25">
      <c r="E1122" s="3"/>
      <c r="F1122" s="3"/>
      <c r="G1122" s="3"/>
    </row>
    <row r="1123" spans="5:7" x14ac:dyDescent="0.25">
      <c r="E1123" s="3"/>
      <c r="F1123" s="3"/>
      <c r="G1123" s="3"/>
    </row>
    <row r="1124" spans="5:7" x14ac:dyDescent="0.25">
      <c r="E1124" s="3"/>
      <c r="F1124" s="3"/>
      <c r="G1124" s="3"/>
    </row>
    <row r="1125" spans="5:7" x14ac:dyDescent="0.25">
      <c r="E1125" s="3"/>
      <c r="F1125" s="3"/>
      <c r="G1125" s="3"/>
    </row>
    <row r="1126" spans="5:7" x14ac:dyDescent="0.25">
      <c r="E1126" s="3"/>
      <c r="F1126" s="3"/>
      <c r="G1126" s="3"/>
    </row>
    <row r="1127" spans="5:7" x14ac:dyDescent="0.25">
      <c r="E1127" s="3"/>
      <c r="F1127" s="3"/>
      <c r="G1127" s="3"/>
    </row>
    <row r="1128" spans="5:7" x14ac:dyDescent="0.25">
      <c r="E1128" s="3"/>
      <c r="F1128" s="3"/>
      <c r="G1128" s="3"/>
    </row>
    <row r="1129" spans="5:7" x14ac:dyDescent="0.25">
      <c r="E1129" s="3"/>
      <c r="F1129" s="3"/>
      <c r="G1129" s="3"/>
    </row>
    <row r="1130" spans="5:7" x14ac:dyDescent="0.25">
      <c r="E1130" s="3"/>
      <c r="F1130" s="3"/>
      <c r="G1130" s="3"/>
    </row>
    <row r="1131" spans="5:7" x14ac:dyDescent="0.25">
      <c r="E1131" s="3"/>
      <c r="F1131" s="3"/>
      <c r="G1131" s="3"/>
    </row>
    <row r="1132" spans="5:7" x14ac:dyDescent="0.25">
      <c r="E1132" s="3"/>
      <c r="F1132" s="3"/>
      <c r="G1132" s="3"/>
    </row>
    <row r="1133" spans="5:7" x14ac:dyDescent="0.25">
      <c r="E1133" s="3"/>
      <c r="F1133" s="3"/>
      <c r="G1133" s="3"/>
    </row>
    <row r="1134" spans="5:7" x14ac:dyDescent="0.25">
      <c r="E1134" s="3"/>
      <c r="F1134" s="3"/>
      <c r="G1134" s="3"/>
    </row>
    <row r="1135" spans="5:7" x14ac:dyDescent="0.25">
      <c r="E1135" s="3"/>
      <c r="F1135" s="3"/>
      <c r="G1135" s="3"/>
    </row>
    <row r="1136" spans="5:7" x14ac:dyDescent="0.25">
      <c r="E1136" s="3"/>
      <c r="F1136" s="3"/>
      <c r="G1136" s="3"/>
    </row>
    <row r="1137" spans="5:7" x14ac:dyDescent="0.25">
      <c r="E1137" s="3"/>
      <c r="F1137" s="3"/>
      <c r="G1137" s="3"/>
    </row>
    <row r="1138" spans="5:7" x14ac:dyDescent="0.25">
      <c r="E1138" s="3"/>
      <c r="F1138" s="3"/>
      <c r="G1138" s="3"/>
    </row>
    <row r="1139" spans="5:7" x14ac:dyDescent="0.25">
      <c r="E1139" s="3"/>
      <c r="F1139" s="3"/>
      <c r="G1139" s="3"/>
    </row>
    <row r="1140" spans="5:7" x14ac:dyDescent="0.25">
      <c r="E1140" s="3"/>
      <c r="F1140" s="3"/>
      <c r="G1140" s="3"/>
    </row>
    <row r="1141" spans="5:7" x14ac:dyDescent="0.25">
      <c r="E1141" s="3"/>
      <c r="F1141" s="3"/>
      <c r="G1141" s="3"/>
    </row>
    <row r="1142" spans="5:7" x14ac:dyDescent="0.25">
      <c r="E1142" s="3"/>
      <c r="F1142" s="3"/>
      <c r="G1142" s="3"/>
    </row>
    <row r="1143" spans="5:7" x14ac:dyDescent="0.25">
      <c r="E1143" s="3"/>
      <c r="F1143" s="3"/>
      <c r="G1143" s="3"/>
    </row>
    <row r="1144" spans="5:7" x14ac:dyDescent="0.25">
      <c r="E1144" s="3"/>
      <c r="F1144" s="3"/>
      <c r="G1144" s="3"/>
    </row>
    <row r="1145" spans="5:7" x14ac:dyDescent="0.25">
      <c r="E1145" s="3"/>
      <c r="F1145" s="3"/>
      <c r="G1145" s="3"/>
    </row>
    <row r="1146" spans="5:7" x14ac:dyDescent="0.25">
      <c r="E1146" s="3"/>
      <c r="F1146" s="3"/>
      <c r="G1146" s="3"/>
    </row>
    <row r="1147" spans="5:7" x14ac:dyDescent="0.25">
      <c r="E1147" s="3"/>
      <c r="F1147" s="3"/>
      <c r="G1147" s="3"/>
    </row>
    <row r="1148" spans="5:7" x14ac:dyDescent="0.25">
      <c r="E1148" s="3"/>
      <c r="F1148" s="3"/>
      <c r="G1148" s="3"/>
    </row>
    <row r="1149" spans="5:7" x14ac:dyDescent="0.25">
      <c r="E1149" s="3"/>
      <c r="F1149" s="3"/>
      <c r="G1149" s="3"/>
    </row>
    <row r="1150" spans="5:7" x14ac:dyDescent="0.25">
      <c r="E1150" s="3"/>
      <c r="F1150" s="3"/>
      <c r="G1150" s="3"/>
    </row>
    <row r="1151" spans="5:7" x14ac:dyDescent="0.25">
      <c r="E1151" s="3"/>
      <c r="F1151" s="3"/>
      <c r="G1151" s="3"/>
    </row>
    <row r="1152" spans="5:7" x14ac:dyDescent="0.25">
      <c r="E1152" s="3"/>
      <c r="F1152" s="3"/>
      <c r="G1152" s="3"/>
    </row>
    <row r="1153" spans="5:7" x14ac:dyDescent="0.25">
      <c r="E1153" s="3"/>
      <c r="F1153" s="3"/>
      <c r="G1153" s="3"/>
    </row>
    <row r="1154" spans="5:7" x14ac:dyDescent="0.25">
      <c r="E1154" s="3"/>
      <c r="F1154" s="3"/>
      <c r="G1154" s="3"/>
    </row>
    <row r="1155" spans="5:7" x14ac:dyDescent="0.25">
      <c r="E1155" s="3"/>
      <c r="F1155" s="3"/>
      <c r="G1155" s="3"/>
    </row>
    <row r="1156" spans="5:7" x14ac:dyDescent="0.25">
      <c r="E1156" s="3"/>
      <c r="F1156" s="3"/>
      <c r="G1156" s="3"/>
    </row>
    <row r="1157" spans="5:7" x14ac:dyDescent="0.25">
      <c r="E1157" s="3"/>
      <c r="F1157" s="3"/>
      <c r="G1157" s="3"/>
    </row>
    <row r="1158" spans="5:7" x14ac:dyDescent="0.25">
      <c r="E1158" s="3"/>
      <c r="F1158" s="3"/>
      <c r="G1158" s="3"/>
    </row>
    <row r="1159" spans="5:7" x14ac:dyDescent="0.25">
      <c r="E1159" s="3"/>
      <c r="F1159" s="3"/>
      <c r="G1159" s="3"/>
    </row>
    <row r="1160" spans="5:7" x14ac:dyDescent="0.25">
      <c r="E1160" s="3"/>
      <c r="F1160" s="3"/>
      <c r="G1160" s="3"/>
    </row>
    <row r="1161" spans="5:7" x14ac:dyDescent="0.25">
      <c r="E1161" s="3"/>
      <c r="F1161" s="3"/>
      <c r="G1161" s="3"/>
    </row>
    <row r="1162" spans="5:7" x14ac:dyDescent="0.25">
      <c r="E1162" s="3"/>
      <c r="F1162" s="3"/>
      <c r="G1162" s="3"/>
    </row>
    <row r="1163" spans="5:7" x14ac:dyDescent="0.25">
      <c r="E1163" s="3"/>
      <c r="F1163" s="3"/>
      <c r="G1163" s="3"/>
    </row>
    <row r="1164" spans="5:7" x14ac:dyDescent="0.25">
      <c r="E1164" s="3"/>
      <c r="F1164" s="3"/>
      <c r="G1164" s="3"/>
    </row>
    <row r="1165" spans="5:7" x14ac:dyDescent="0.25">
      <c r="E1165" s="3"/>
      <c r="F1165" s="3"/>
      <c r="G1165" s="3"/>
    </row>
    <row r="1166" spans="5:7" x14ac:dyDescent="0.25">
      <c r="E1166" s="3"/>
      <c r="F1166" s="3"/>
      <c r="G1166" s="3"/>
    </row>
    <row r="1167" spans="5:7" x14ac:dyDescent="0.25">
      <c r="E1167" s="3"/>
      <c r="F1167" s="3"/>
      <c r="G1167" s="3"/>
    </row>
    <row r="1168" spans="5:7" x14ac:dyDescent="0.25">
      <c r="E1168" s="3"/>
      <c r="F1168" s="3"/>
      <c r="G1168" s="3"/>
    </row>
    <row r="1169" spans="5:7" x14ac:dyDescent="0.25">
      <c r="E1169" s="3"/>
      <c r="F1169" s="3"/>
      <c r="G1169" s="3"/>
    </row>
    <row r="1170" spans="5:7" x14ac:dyDescent="0.25">
      <c r="E1170" s="3"/>
      <c r="F1170" s="3"/>
      <c r="G1170" s="3"/>
    </row>
    <row r="1171" spans="5:7" x14ac:dyDescent="0.25">
      <c r="E1171" s="3"/>
      <c r="F1171" s="3"/>
      <c r="G1171" s="3"/>
    </row>
    <row r="1172" spans="5:7" x14ac:dyDescent="0.25">
      <c r="E1172" s="3"/>
      <c r="F1172" s="3"/>
      <c r="G1172" s="3"/>
    </row>
    <row r="1173" spans="5:7" x14ac:dyDescent="0.25">
      <c r="E1173" s="3"/>
      <c r="F1173" s="3"/>
      <c r="G1173" s="3"/>
    </row>
    <row r="1174" spans="5:7" x14ac:dyDescent="0.25">
      <c r="E1174" s="3"/>
      <c r="F1174" s="3"/>
      <c r="G1174" s="3"/>
    </row>
    <row r="1175" spans="5:7" x14ac:dyDescent="0.25">
      <c r="E1175" s="3"/>
      <c r="F1175" s="3"/>
      <c r="G1175" s="3"/>
    </row>
    <row r="1176" spans="5:7" x14ac:dyDescent="0.25">
      <c r="E1176" s="3"/>
      <c r="F1176" s="3"/>
      <c r="G1176" s="3"/>
    </row>
    <row r="1177" spans="5:7" x14ac:dyDescent="0.25">
      <c r="E1177" s="3"/>
      <c r="F1177" s="3"/>
      <c r="G1177" s="3"/>
    </row>
    <row r="1178" spans="5:7" x14ac:dyDescent="0.25">
      <c r="E1178" s="3"/>
      <c r="F1178" s="3"/>
      <c r="G1178" s="3"/>
    </row>
    <row r="1179" spans="5:7" x14ac:dyDescent="0.25">
      <c r="E1179" s="3"/>
      <c r="F1179" s="3"/>
      <c r="G1179" s="3"/>
    </row>
    <row r="1180" spans="5:7" x14ac:dyDescent="0.25">
      <c r="E1180" s="3"/>
      <c r="F1180" s="3"/>
      <c r="G1180" s="3"/>
    </row>
    <row r="1181" spans="5:7" x14ac:dyDescent="0.25">
      <c r="E1181" s="3"/>
      <c r="F1181" s="3"/>
      <c r="G1181" s="3"/>
    </row>
    <row r="1182" spans="5:7" x14ac:dyDescent="0.25">
      <c r="E1182" s="3"/>
      <c r="F1182" s="3"/>
      <c r="G1182" s="3"/>
    </row>
    <row r="1183" spans="5:7" x14ac:dyDescent="0.25">
      <c r="E1183" s="3"/>
      <c r="F1183" s="3"/>
      <c r="G1183" s="3"/>
    </row>
    <row r="1184" spans="5:7" x14ac:dyDescent="0.25">
      <c r="E1184" s="3"/>
      <c r="F1184" s="3"/>
      <c r="G1184" s="3"/>
    </row>
    <row r="1185" spans="5:7" x14ac:dyDescent="0.25">
      <c r="E1185" s="3"/>
      <c r="F1185" s="3"/>
      <c r="G1185" s="3"/>
    </row>
    <row r="1186" spans="5:7" x14ac:dyDescent="0.25">
      <c r="E1186" s="3"/>
      <c r="F1186" s="3"/>
      <c r="G1186" s="3"/>
    </row>
    <row r="1187" spans="5:7" x14ac:dyDescent="0.25">
      <c r="E1187" s="3"/>
      <c r="F1187" s="3"/>
      <c r="G1187" s="3"/>
    </row>
    <row r="1188" spans="5:7" x14ac:dyDescent="0.25">
      <c r="E1188" s="3"/>
      <c r="F1188" s="3"/>
      <c r="G1188" s="3"/>
    </row>
    <row r="1189" spans="5:7" x14ac:dyDescent="0.25">
      <c r="E1189" s="3"/>
      <c r="F1189" s="3"/>
      <c r="G1189" s="3"/>
    </row>
    <row r="1190" spans="5:7" x14ac:dyDescent="0.25">
      <c r="E1190" s="3"/>
      <c r="F1190" s="3"/>
      <c r="G1190" s="3"/>
    </row>
    <row r="1191" spans="5:7" x14ac:dyDescent="0.25">
      <c r="E1191" s="3"/>
      <c r="F1191" s="3"/>
      <c r="G1191" s="3"/>
    </row>
    <row r="1192" spans="5:7" x14ac:dyDescent="0.25">
      <c r="E1192" s="3"/>
      <c r="F1192" s="3"/>
      <c r="G1192" s="3"/>
    </row>
    <row r="1193" spans="5:7" x14ac:dyDescent="0.25">
      <c r="E1193" s="3"/>
      <c r="F1193" s="3"/>
      <c r="G1193" s="3"/>
    </row>
    <row r="1194" spans="5:7" x14ac:dyDescent="0.25">
      <c r="E1194" s="3"/>
      <c r="F1194" s="3"/>
      <c r="G1194" s="3"/>
    </row>
    <row r="1195" spans="5:7" x14ac:dyDescent="0.25">
      <c r="E1195" s="3"/>
      <c r="F1195" s="3"/>
      <c r="G1195" s="3"/>
    </row>
    <row r="1196" spans="5:7" x14ac:dyDescent="0.25">
      <c r="E1196" s="3"/>
      <c r="F1196" s="3"/>
      <c r="G1196" s="3"/>
    </row>
    <row r="1197" spans="5:7" x14ac:dyDescent="0.25">
      <c r="E1197" s="3"/>
      <c r="F1197" s="3"/>
      <c r="G1197" s="3"/>
    </row>
    <row r="1198" spans="5:7" x14ac:dyDescent="0.25">
      <c r="E1198" s="3"/>
      <c r="F1198" s="3"/>
      <c r="G1198" s="3"/>
    </row>
    <row r="1199" spans="5:7" x14ac:dyDescent="0.25">
      <c r="E1199" s="3"/>
      <c r="F1199" s="3"/>
      <c r="G1199" s="3"/>
    </row>
    <row r="1200" spans="5:7" x14ac:dyDescent="0.25">
      <c r="E1200" s="3"/>
      <c r="F1200" s="3"/>
      <c r="G1200" s="3"/>
    </row>
    <row r="1201" spans="5:7" x14ac:dyDescent="0.25">
      <c r="E1201" s="3"/>
      <c r="F1201" s="3"/>
      <c r="G1201" s="3"/>
    </row>
    <row r="1202" spans="5:7" x14ac:dyDescent="0.25">
      <c r="E1202" s="3"/>
      <c r="F1202" s="3"/>
      <c r="G1202" s="3"/>
    </row>
    <row r="1203" spans="5:7" x14ac:dyDescent="0.25">
      <c r="E1203" s="3"/>
      <c r="F1203" s="3"/>
      <c r="G1203" s="3"/>
    </row>
    <row r="1204" spans="5:7" x14ac:dyDescent="0.25">
      <c r="E1204" s="3"/>
      <c r="F1204" s="3"/>
      <c r="G1204" s="3"/>
    </row>
    <row r="1205" spans="5:7" x14ac:dyDescent="0.25">
      <c r="E1205" s="3"/>
      <c r="F1205" s="3"/>
      <c r="G1205" s="3"/>
    </row>
    <row r="1206" spans="5:7" x14ac:dyDescent="0.25">
      <c r="E1206" s="3"/>
      <c r="F1206" s="3"/>
      <c r="G1206" s="3"/>
    </row>
    <row r="1207" spans="5:7" x14ac:dyDescent="0.25">
      <c r="E1207" s="3"/>
      <c r="F1207" s="3"/>
      <c r="G1207" s="3"/>
    </row>
    <row r="1208" spans="5:7" x14ac:dyDescent="0.25">
      <c r="E1208" s="3"/>
      <c r="F1208" s="3"/>
      <c r="G1208" s="3"/>
    </row>
    <row r="1209" spans="5:7" x14ac:dyDescent="0.25">
      <c r="E1209" s="3"/>
      <c r="F1209" s="3"/>
      <c r="G1209" s="3"/>
    </row>
    <row r="1210" spans="5:7" x14ac:dyDescent="0.25">
      <c r="E1210" s="3"/>
      <c r="F1210" s="3"/>
      <c r="G1210" s="3"/>
    </row>
    <row r="1211" spans="5:7" x14ac:dyDescent="0.25">
      <c r="E1211" s="3"/>
      <c r="F1211" s="3"/>
      <c r="G1211" s="3"/>
    </row>
    <row r="1212" spans="5:7" x14ac:dyDescent="0.25">
      <c r="E1212" s="3"/>
      <c r="F1212" s="3"/>
      <c r="G1212" s="3"/>
    </row>
    <row r="1213" spans="5:7" x14ac:dyDescent="0.25">
      <c r="E1213" s="3"/>
      <c r="F1213" s="3"/>
      <c r="G1213" s="3"/>
    </row>
    <row r="1214" spans="5:7" x14ac:dyDescent="0.25">
      <c r="E1214" s="3"/>
      <c r="F1214" s="3"/>
      <c r="G1214" s="3"/>
    </row>
    <row r="1215" spans="5:7" x14ac:dyDescent="0.25">
      <c r="E1215" s="3"/>
      <c r="F1215" s="3"/>
      <c r="G1215" s="3"/>
    </row>
    <row r="1216" spans="5:7" x14ac:dyDescent="0.25">
      <c r="E1216" s="3"/>
      <c r="F1216" s="3"/>
      <c r="G1216" s="3"/>
    </row>
    <row r="1217" spans="5:7" x14ac:dyDescent="0.25">
      <c r="E1217" s="3"/>
      <c r="F1217" s="3"/>
      <c r="G1217" s="3"/>
    </row>
    <row r="1218" spans="5:7" x14ac:dyDescent="0.25">
      <c r="E1218" s="3"/>
      <c r="F1218" s="3"/>
      <c r="G1218" s="3"/>
    </row>
    <row r="1219" spans="5:7" x14ac:dyDescent="0.25">
      <c r="E1219" s="3"/>
      <c r="F1219" s="3"/>
      <c r="G1219" s="3"/>
    </row>
    <row r="1220" spans="5:7" x14ac:dyDescent="0.25">
      <c r="E1220" s="3"/>
      <c r="F1220" s="3"/>
      <c r="G1220" s="3"/>
    </row>
    <row r="1221" spans="5:7" x14ac:dyDescent="0.25">
      <c r="E1221" s="3"/>
      <c r="F1221" s="3"/>
      <c r="G1221" s="3"/>
    </row>
    <row r="1222" spans="5:7" x14ac:dyDescent="0.25">
      <c r="E1222" s="3"/>
      <c r="F1222" s="3"/>
      <c r="G1222" s="3"/>
    </row>
    <row r="1223" spans="5:7" x14ac:dyDescent="0.25">
      <c r="E1223" s="3"/>
      <c r="F1223" s="3"/>
      <c r="G1223" s="3"/>
    </row>
    <row r="1224" spans="5:7" x14ac:dyDescent="0.25">
      <c r="E1224" s="3"/>
      <c r="F1224" s="3"/>
      <c r="G1224" s="3"/>
    </row>
    <row r="1225" spans="5:7" x14ac:dyDescent="0.25">
      <c r="E1225" s="3"/>
      <c r="F1225" s="3"/>
      <c r="G1225" s="3"/>
    </row>
    <row r="1226" spans="5:7" x14ac:dyDescent="0.25">
      <c r="E1226" s="3"/>
      <c r="F1226" s="3"/>
      <c r="G1226" s="3"/>
    </row>
    <row r="1227" spans="5:7" x14ac:dyDescent="0.25">
      <c r="E1227" s="3"/>
      <c r="F1227" s="3"/>
      <c r="G1227" s="3"/>
    </row>
    <row r="1228" spans="5:7" x14ac:dyDescent="0.25">
      <c r="E1228" s="3"/>
      <c r="F1228" s="3"/>
      <c r="G1228" s="3"/>
    </row>
    <row r="1229" spans="5:7" x14ac:dyDescent="0.25">
      <c r="E1229" s="3"/>
      <c r="F1229" s="3"/>
      <c r="G1229" s="3"/>
    </row>
    <row r="1230" spans="5:7" x14ac:dyDescent="0.25">
      <c r="E1230" s="3"/>
      <c r="F1230" s="3"/>
      <c r="G1230" s="3"/>
    </row>
    <row r="1231" spans="5:7" x14ac:dyDescent="0.25">
      <c r="E1231" s="3"/>
      <c r="F1231" s="3"/>
      <c r="G1231" s="3"/>
    </row>
    <row r="1232" spans="5:7" x14ac:dyDescent="0.25">
      <c r="E1232" s="3"/>
      <c r="F1232" s="3"/>
      <c r="G1232" s="3"/>
    </row>
    <row r="1233" spans="5:7" x14ac:dyDescent="0.25">
      <c r="E1233" s="3"/>
      <c r="F1233" s="3"/>
      <c r="G1233" s="3"/>
    </row>
    <row r="1234" spans="5:7" x14ac:dyDescent="0.25">
      <c r="E1234" s="3"/>
      <c r="F1234" s="3"/>
      <c r="G1234" s="3"/>
    </row>
    <row r="1235" spans="5:7" x14ac:dyDescent="0.25">
      <c r="E1235" s="3"/>
      <c r="F1235" s="3"/>
      <c r="G1235" s="3"/>
    </row>
    <row r="1236" spans="5:7" x14ac:dyDescent="0.25">
      <c r="E1236" s="3"/>
      <c r="F1236" s="3"/>
      <c r="G1236" s="3"/>
    </row>
    <row r="1237" spans="5:7" x14ac:dyDescent="0.25">
      <c r="E1237" s="3"/>
      <c r="F1237" s="3"/>
      <c r="G1237" s="3"/>
    </row>
    <row r="1238" spans="5:7" x14ac:dyDescent="0.25">
      <c r="E1238" s="3"/>
      <c r="F1238" s="3"/>
      <c r="G1238" s="3"/>
    </row>
    <row r="1239" spans="5:7" x14ac:dyDescent="0.25">
      <c r="E1239" s="3"/>
      <c r="F1239" s="3"/>
      <c r="G1239" s="3"/>
    </row>
    <row r="1240" spans="5:7" x14ac:dyDescent="0.25">
      <c r="E1240" s="3"/>
      <c r="F1240" s="3"/>
      <c r="G1240" s="3"/>
    </row>
    <row r="1241" spans="5:7" x14ac:dyDescent="0.25">
      <c r="E1241" s="3"/>
      <c r="F1241" s="3"/>
      <c r="G1241" s="3"/>
    </row>
    <row r="1242" spans="5:7" x14ac:dyDescent="0.25">
      <c r="E1242" s="3"/>
      <c r="F1242" s="3"/>
      <c r="G1242" s="3"/>
    </row>
    <row r="1243" spans="5:7" x14ac:dyDescent="0.25">
      <c r="E1243" s="3"/>
      <c r="F1243" s="3"/>
      <c r="G1243" s="3"/>
    </row>
    <row r="1244" spans="5:7" x14ac:dyDescent="0.25">
      <c r="E1244" s="3"/>
      <c r="F1244" s="3"/>
      <c r="G1244" s="3"/>
    </row>
    <row r="1245" spans="5:7" x14ac:dyDescent="0.25">
      <c r="E1245" s="3"/>
      <c r="F1245" s="3"/>
      <c r="G1245" s="3"/>
    </row>
    <row r="1246" spans="5:7" x14ac:dyDescent="0.25">
      <c r="E1246" s="3"/>
      <c r="F1246" s="3"/>
      <c r="G1246" s="3"/>
    </row>
    <row r="1247" spans="5:7" x14ac:dyDescent="0.25">
      <c r="E1247" s="3"/>
      <c r="F1247" s="3"/>
      <c r="G1247" s="3"/>
    </row>
    <row r="1248" spans="5:7" x14ac:dyDescent="0.25">
      <c r="E1248" s="3"/>
      <c r="F1248" s="3"/>
      <c r="G1248" s="3"/>
    </row>
    <row r="1249" spans="5:7" x14ac:dyDescent="0.25">
      <c r="E1249" s="3"/>
      <c r="F1249" s="3"/>
      <c r="G1249" s="3"/>
    </row>
    <row r="1250" spans="5:7" x14ac:dyDescent="0.25">
      <c r="E1250" s="3"/>
      <c r="F1250" s="3"/>
      <c r="G1250" s="3"/>
    </row>
    <row r="1251" spans="5:7" x14ac:dyDescent="0.25">
      <c r="E1251" s="3"/>
      <c r="F1251" s="3"/>
      <c r="G1251" s="3"/>
    </row>
    <row r="1252" spans="5:7" x14ac:dyDescent="0.25">
      <c r="E1252" s="3"/>
      <c r="F1252" s="3"/>
      <c r="G1252" s="3"/>
    </row>
    <row r="1253" spans="5:7" x14ac:dyDescent="0.25">
      <c r="E1253" s="3"/>
      <c r="F1253" s="3"/>
      <c r="G1253" s="3"/>
    </row>
    <row r="1254" spans="5:7" x14ac:dyDescent="0.25">
      <c r="E1254" s="3"/>
      <c r="F1254" s="3"/>
      <c r="G1254" s="3"/>
    </row>
    <row r="1255" spans="5:7" x14ac:dyDescent="0.25">
      <c r="E1255" s="3"/>
      <c r="F1255" s="3"/>
      <c r="G1255" s="3"/>
    </row>
    <row r="1256" spans="5:7" x14ac:dyDescent="0.25">
      <c r="E1256" s="3"/>
      <c r="F1256" s="3"/>
      <c r="G1256" s="3"/>
    </row>
    <row r="1257" spans="5:7" x14ac:dyDescent="0.25">
      <c r="E1257" s="3"/>
      <c r="F1257" s="3"/>
      <c r="G1257" s="3"/>
    </row>
    <row r="1258" spans="5:7" x14ac:dyDescent="0.25">
      <c r="E1258" s="3"/>
      <c r="F1258" s="3"/>
      <c r="G1258" s="3"/>
    </row>
    <row r="1259" spans="5:7" x14ac:dyDescent="0.25">
      <c r="E1259" s="3"/>
      <c r="F1259" s="3"/>
      <c r="G1259" s="3"/>
    </row>
    <row r="1260" spans="5:7" x14ac:dyDescent="0.25">
      <c r="E1260" s="3"/>
      <c r="F1260" s="3"/>
      <c r="G1260" s="3"/>
    </row>
    <row r="1261" spans="5:7" x14ac:dyDescent="0.25">
      <c r="E1261" s="3"/>
      <c r="F1261" s="3"/>
      <c r="G1261" s="3"/>
    </row>
    <row r="1262" spans="5:7" x14ac:dyDescent="0.25">
      <c r="E1262" s="3"/>
      <c r="F1262" s="3"/>
      <c r="G1262" s="3"/>
    </row>
    <row r="1263" spans="5:7" x14ac:dyDescent="0.25">
      <c r="E1263" s="3"/>
      <c r="F1263" s="3"/>
      <c r="G1263" s="3"/>
    </row>
    <row r="1264" spans="5:7" x14ac:dyDescent="0.25">
      <c r="E1264" s="3"/>
      <c r="F1264" s="3"/>
      <c r="G1264" s="3"/>
    </row>
    <row r="1265" spans="5:7" x14ac:dyDescent="0.25">
      <c r="E1265" s="3"/>
      <c r="F1265" s="3"/>
      <c r="G1265" s="3"/>
    </row>
    <row r="1266" spans="5:7" x14ac:dyDescent="0.25">
      <c r="E1266" s="3"/>
      <c r="F1266" s="3"/>
      <c r="G1266" s="3"/>
    </row>
    <row r="1267" spans="5:7" x14ac:dyDescent="0.25">
      <c r="E1267" s="3"/>
      <c r="F1267" s="3"/>
      <c r="G1267" s="3"/>
    </row>
    <row r="1268" spans="5:7" x14ac:dyDescent="0.25">
      <c r="E1268" s="3"/>
      <c r="F1268" s="3"/>
      <c r="G1268" s="3"/>
    </row>
    <row r="1269" spans="5:7" x14ac:dyDescent="0.25">
      <c r="E1269" s="3"/>
      <c r="F1269" s="3"/>
      <c r="G1269" s="3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B6436-80E7-4E99-A17A-60DAF8F5E041}">
  <dimension ref="A1:D345"/>
  <sheetViews>
    <sheetView workbookViewId="0"/>
  </sheetViews>
  <sheetFormatPr defaultRowHeight="15" x14ac:dyDescent="0.25"/>
  <cols>
    <col min="1" max="1" width="9.42578125" bestFit="1" customWidth="1"/>
    <col min="2" max="2" width="10.7109375" bestFit="1" customWidth="1"/>
    <col min="3" max="3" width="15.5703125" bestFit="1" customWidth="1"/>
    <col min="4" max="4" width="7.42578125" style="2" bestFit="1" customWidth="1"/>
  </cols>
  <sheetData>
    <row r="1" spans="1:4" x14ac:dyDescent="0.25">
      <c r="A1" t="s">
        <v>944</v>
      </c>
      <c r="B1" t="s">
        <v>945</v>
      </c>
      <c r="C1" t="s">
        <v>946</v>
      </c>
      <c r="D1" s="2" t="s">
        <v>928</v>
      </c>
    </row>
    <row r="2" spans="1:4" x14ac:dyDescent="0.25">
      <c r="A2" t="s">
        <v>929</v>
      </c>
      <c r="B2" s="1">
        <v>46204</v>
      </c>
      <c r="C2" t="s">
        <v>227</v>
      </c>
      <c r="D2" s="2">
        <v>556</v>
      </c>
    </row>
    <row r="3" spans="1:4" x14ac:dyDescent="0.25">
      <c r="A3" t="s">
        <v>929</v>
      </c>
      <c r="B3" s="1">
        <v>46204</v>
      </c>
      <c r="C3" t="s">
        <v>355</v>
      </c>
      <c r="D3" s="2">
        <v>1149</v>
      </c>
    </row>
    <row r="4" spans="1:4" x14ac:dyDescent="0.25">
      <c r="A4" t="s">
        <v>929</v>
      </c>
      <c r="B4" s="1">
        <v>46204</v>
      </c>
      <c r="C4" t="s">
        <v>593</v>
      </c>
      <c r="D4" s="2">
        <v>513</v>
      </c>
    </row>
    <row r="5" spans="1:4" x14ac:dyDescent="0.25">
      <c r="A5" t="s">
        <v>929</v>
      </c>
      <c r="B5" s="1">
        <v>46204</v>
      </c>
      <c r="C5" t="s">
        <v>721</v>
      </c>
      <c r="D5" s="2">
        <v>804</v>
      </c>
    </row>
    <row r="6" spans="1:4" x14ac:dyDescent="0.25">
      <c r="A6" t="s">
        <v>929</v>
      </c>
      <c r="B6" s="1">
        <v>46205</v>
      </c>
      <c r="C6" t="s">
        <v>227</v>
      </c>
      <c r="D6" s="2">
        <v>502</v>
      </c>
    </row>
    <row r="7" spans="1:4" x14ac:dyDescent="0.25">
      <c r="A7" t="s">
        <v>929</v>
      </c>
      <c r="B7" s="1">
        <v>46205</v>
      </c>
      <c r="C7" t="s">
        <v>355</v>
      </c>
      <c r="D7" s="2">
        <v>1365</v>
      </c>
    </row>
    <row r="8" spans="1:4" x14ac:dyDescent="0.25">
      <c r="A8" t="s">
        <v>929</v>
      </c>
      <c r="B8" s="1">
        <v>46205</v>
      </c>
      <c r="C8" t="s">
        <v>593</v>
      </c>
      <c r="D8" s="2">
        <v>510</v>
      </c>
    </row>
    <row r="9" spans="1:4" x14ac:dyDescent="0.25">
      <c r="A9" t="s">
        <v>929</v>
      </c>
      <c r="B9" s="1">
        <v>46205</v>
      </c>
      <c r="C9" t="s">
        <v>721</v>
      </c>
      <c r="D9" s="2">
        <v>841</v>
      </c>
    </row>
    <row r="10" spans="1:4" x14ac:dyDescent="0.25">
      <c r="A10" t="s">
        <v>929</v>
      </c>
      <c r="B10" s="1">
        <v>46206</v>
      </c>
      <c r="C10" t="s">
        <v>227</v>
      </c>
      <c r="D10" s="2">
        <v>634</v>
      </c>
    </row>
    <row r="11" spans="1:4" x14ac:dyDescent="0.25">
      <c r="A11" t="s">
        <v>929</v>
      </c>
      <c r="B11" s="1">
        <v>46206</v>
      </c>
      <c r="C11" t="s">
        <v>355</v>
      </c>
      <c r="D11" s="2">
        <v>1120</v>
      </c>
    </row>
    <row r="12" spans="1:4" x14ac:dyDescent="0.25">
      <c r="A12" t="s">
        <v>929</v>
      </c>
      <c r="B12" s="1">
        <v>46206</v>
      </c>
      <c r="C12" t="s">
        <v>593</v>
      </c>
      <c r="D12" s="2">
        <v>505</v>
      </c>
    </row>
    <row r="13" spans="1:4" x14ac:dyDescent="0.25">
      <c r="A13" t="s">
        <v>929</v>
      </c>
      <c r="B13" s="1">
        <v>46206</v>
      </c>
      <c r="C13" t="s">
        <v>721</v>
      </c>
      <c r="D13" s="2">
        <v>830</v>
      </c>
    </row>
    <row r="14" spans="1:4" x14ac:dyDescent="0.25">
      <c r="A14" t="s">
        <v>929</v>
      </c>
      <c r="B14" s="1">
        <v>46207</v>
      </c>
      <c r="C14" t="s">
        <v>227</v>
      </c>
      <c r="D14" s="2">
        <v>600</v>
      </c>
    </row>
    <row r="15" spans="1:4" x14ac:dyDescent="0.25">
      <c r="A15" t="s">
        <v>929</v>
      </c>
      <c r="B15" s="1">
        <v>46207</v>
      </c>
      <c r="C15" t="s">
        <v>355</v>
      </c>
      <c r="D15" s="2">
        <v>1035</v>
      </c>
    </row>
    <row r="16" spans="1:4" x14ac:dyDescent="0.25">
      <c r="A16" t="s">
        <v>929</v>
      </c>
      <c r="B16" s="1">
        <v>46207</v>
      </c>
      <c r="C16" t="s">
        <v>593</v>
      </c>
      <c r="D16" s="2">
        <v>517</v>
      </c>
    </row>
    <row r="17" spans="1:4" x14ac:dyDescent="0.25">
      <c r="A17" t="s">
        <v>929</v>
      </c>
      <c r="B17" s="1">
        <v>46207</v>
      </c>
      <c r="C17" t="s">
        <v>721</v>
      </c>
      <c r="D17" s="2">
        <v>873</v>
      </c>
    </row>
    <row r="18" spans="1:4" x14ac:dyDescent="0.25">
      <c r="A18" t="s">
        <v>929</v>
      </c>
      <c r="B18" s="1">
        <v>46208</v>
      </c>
      <c r="C18" t="s">
        <v>227</v>
      </c>
      <c r="D18" s="2">
        <v>513</v>
      </c>
    </row>
    <row r="19" spans="1:4" x14ac:dyDescent="0.25">
      <c r="A19" t="s">
        <v>929</v>
      </c>
      <c r="B19" s="1">
        <v>46208</v>
      </c>
      <c r="C19" t="s">
        <v>355</v>
      </c>
      <c r="D19" s="2">
        <v>814</v>
      </c>
    </row>
    <row r="20" spans="1:4" x14ac:dyDescent="0.25">
      <c r="A20" t="s">
        <v>929</v>
      </c>
      <c r="B20" s="1">
        <v>46208</v>
      </c>
      <c r="C20" t="s">
        <v>593</v>
      </c>
      <c r="D20" s="2">
        <v>415</v>
      </c>
    </row>
    <row r="21" spans="1:4" x14ac:dyDescent="0.25">
      <c r="A21" t="s">
        <v>929</v>
      </c>
      <c r="B21" s="1">
        <v>46208</v>
      </c>
      <c r="C21" t="s">
        <v>721</v>
      </c>
      <c r="D21" s="2">
        <v>823</v>
      </c>
    </row>
    <row r="22" spans="1:4" x14ac:dyDescent="0.25">
      <c r="A22" t="s">
        <v>929</v>
      </c>
      <c r="B22" s="1">
        <v>46209</v>
      </c>
      <c r="C22" t="s">
        <v>227</v>
      </c>
      <c r="D22" s="2">
        <v>546</v>
      </c>
    </row>
    <row r="23" spans="1:4" x14ac:dyDescent="0.25">
      <c r="A23" t="s">
        <v>929</v>
      </c>
      <c r="B23" s="1">
        <v>46209</v>
      </c>
      <c r="C23" t="s">
        <v>355</v>
      </c>
      <c r="D23" s="2">
        <v>1310</v>
      </c>
    </row>
    <row r="24" spans="1:4" x14ac:dyDescent="0.25">
      <c r="A24" t="s">
        <v>929</v>
      </c>
      <c r="B24" s="1">
        <v>46209</v>
      </c>
      <c r="C24" t="s">
        <v>593</v>
      </c>
      <c r="D24" s="2">
        <v>451</v>
      </c>
    </row>
    <row r="25" spans="1:4" x14ac:dyDescent="0.25">
      <c r="A25" t="s">
        <v>929</v>
      </c>
      <c r="B25" s="1">
        <v>46209</v>
      </c>
      <c r="C25" t="s">
        <v>721</v>
      </c>
      <c r="D25" s="2">
        <v>810</v>
      </c>
    </row>
    <row r="26" spans="1:4" x14ac:dyDescent="0.25">
      <c r="A26" t="s">
        <v>929</v>
      </c>
      <c r="B26" s="1">
        <v>46210</v>
      </c>
      <c r="C26" t="s">
        <v>227</v>
      </c>
      <c r="D26" s="2">
        <v>703</v>
      </c>
    </row>
    <row r="27" spans="1:4" x14ac:dyDescent="0.25">
      <c r="A27" t="s">
        <v>929</v>
      </c>
      <c r="B27" s="1">
        <v>46210</v>
      </c>
      <c r="C27" t="s">
        <v>355</v>
      </c>
      <c r="D27" s="2">
        <v>948</v>
      </c>
    </row>
    <row r="28" spans="1:4" x14ac:dyDescent="0.25">
      <c r="A28" t="s">
        <v>929</v>
      </c>
      <c r="B28" s="1">
        <v>46210</v>
      </c>
      <c r="C28" t="s">
        <v>593</v>
      </c>
      <c r="D28" s="2">
        <v>477</v>
      </c>
    </row>
    <row r="29" spans="1:4" x14ac:dyDescent="0.25">
      <c r="A29" t="s">
        <v>929</v>
      </c>
      <c r="B29" s="1">
        <v>46210</v>
      </c>
      <c r="C29" t="s">
        <v>721</v>
      </c>
      <c r="D29" s="2">
        <v>789</v>
      </c>
    </row>
    <row r="30" spans="1:4" x14ac:dyDescent="0.25">
      <c r="A30" t="s">
        <v>929</v>
      </c>
      <c r="B30" s="1">
        <v>46211</v>
      </c>
      <c r="C30" t="s">
        <v>227</v>
      </c>
      <c r="D30" s="2">
        <v>473</v>
      </c>
    </row>
    <row r="31" spans="1:4" x14ac:dyDescent="0.25">
      <c r="A31" t="s">
        <v>929</v>
      </c>
      <c r="B31" s="1">
        <v>46211</v>
      </c>
      <c r="C31" t="s">
        <v>355</v>
      </c>
      <c r="D31" s="2">
        <v>961</v>
      </c>
    </row>
    <row r="32" spans="1:4" x14ac:dyDescent="0.25">
      <c r="A32" t="s">
        <v>929</v>
      </c>
      <c r="B32" s="1">
        <v>46211</v>
      </c>
      <c r="C32" t="s">
        <v>593</v>
      </c>
      <c r="D32" s="2">
        <v>480</v>
      </c>
    </row>
    <row r="33" spans="1:4" x14ac:dyDescent="0.25">
      <c r="A33" t="s">
        <v>929</v>
      </c>
      <c r="B33" s="1">
        <v>46211</v>
      </c>
      <c r="C33" t="s">
        <v>721</v>
      </c>
      <c r="D33" s="2">
        <v>833</v>
      </c>
    </row>
    <row r="34" spans="1:4" x14ac:dyDescent="0.25">
      <c r="A34" t="s">
        <v>929</v>
      </c>
      <c r="B34" s="1">
        <v>46212</v>
      </c>
      <c r="C34" t="s">
        <v>227</v>
      </c>
      <c r="D34" s="2">
        <v>468</v>
      </c>
    </row>
    <row r="35" spans="1:4" x14ac:dyDescent="0.25">
      <c r="A35" t="s">
        <v>929</v>
      </c>
      <c r="B35" s="1">
        <v>46212</v>
      </c>
      <c r="C35" t="s">
        <v>355</v>
      </c>
      <c r="D35" s="2">
        <v>1264</v>
      </c>
    </row>
    <row r="36" spans="1:4" x14ac:dyDescent="0.25">
      <c r="A36" t="s">
        <v>929</v>
      </c>
      <c r="B36" s="1">
        <v>46212</v>
      </c>
      <c r="C36" t="s">
        <v>593</v>
      </c>
      <c r="D36" s="2">
        <v>503</v>
      </c>
    </row>
    <row r="37" spans="1:4" x14ac:dyDescent="0.25">
      <c r="A37" t="s">
        <v>929</v>
      </c>
      <c r="B37" s="1">
        <v>46212</v>
      </c>
      <c r="C37" t="s">
        <v>721</v>
      </c>
      <c r="D37" s="2">
        <v>752</v>
      </c>
    </row>
    <row r="38" spans="1:4" x14ac:dyDescent="0.25">
      <c r="A38" t="s">
        <v>929</v>
      </c>
      <c r="B38" s="1">
        <v>46213</v>
      </c>
      <c r="C38" t="s">
        <v>227</v>
      </c>
      <c r="D38" s="2">
        <v>669</v>
      </c>
    </row>
    <row r="39" spans="1:4" x14ac:dyDescent="0.25">
      <c r="A39" t="s">
        <v>929</v>
      </c>
      <c r="B39" s="1">
        <v>46213</v>
      </c>
      <c r="C39" t="s">
        <v>355</v>
      </c>
      <c r="D39" s="2">
        <v>1019</v>
      </c>
    </row>
    <row r="40" spans="1:4" x14ac:dyDescent="0.25">
      <c r="A40" t="s">
        <v>929</v>
      </c>
      <c r="B40" s="1">
        <v>46213</v>
      </c>
      <c r="C40" t="s">
        <v>593</v>
      </c>
      <c r="D40" s="2">
        <v>472</v>
      </c>
    </row>
    <row r="41" spans="1:4" x14ac:dyDescent="0.25">
      <c r="A41" t="s">
        <v>929</v>
      </c>
      <c r="B41" s="1">
        <v>46213</v>
      </c>
      <c r="C41" t="s">
        <v>721</v>
      </c>
      <c r="D41" s="2">
        <v>851</v>
      </c>
    </row>
    <row r="42" spans="1:4" x14ac:dyDescent="0.25">
      <c r="A42" t="s">
        <v>929</v>
      </c>
      <c r="B42" s="1">
        <v>46214</v>
      </c>
      <c r="C42" t="s">
        <v>227</v>
      </c>
      <c r="D42" s="2">
        <v>500</v>
      </c>
    </row>
    <row r="43" spans="1:4" x14ac:dyDescent="0.25">
      <c r="A43" t="s">
        <v>929</v>
      </c>
      <c r="B43" s="1">
        <v>46214</v>
      </c>
      <c r="C43" t="s">
        <v>355</v>
      </c>
      <c r="D43" s="2">
        <v>999</v>
      </c>
    </row>
    <row r="44" spans="1:4" x14ac:dyDescent="0.25">
      <c r="A44" t="s">
        <v>929</v>
      </c>
      <c r="B44" s="1">
        <v>46214</v>
      </c>
      <c r="C44" t="s">
        <v>593</v>
      </c>
      <c r="D44" s="2">
        <v>468</v>
      </c>
    </row>
    <row r="45" spans="1:4" x14ac:dyDescent="0.25">
      <c r="A45" t="s">
        <v>929</v>
      </c>
      <c r="B45" s="1">
        <v>46214</v>
      </c>
      <c r="C45" t="s">
        <v>721</v>
      </c>
      <c r="D45" s="2">
        <v>901</v>
      </c>
    </row>
    <row r="46" spans="1:4" x14ac:dyDescent="0.25">
      <c r="A46" t="s">
        <v>929</v>
      </c>
      <c r="B46" s="1">
        <v>46215</v>
      </c>
      <c r="C46" t="s">
        <v>227</v>
      </c>
      <c r="D46" s="2">
        <v>519</v>
      </c>
    </row>
    <row r="47" spans="1:4" x14ac:dyDescent="0.25">
      <c r="A47" t="s">
        <v>929</v>
      </c>
      <c r="B47" s="1">
        <v>46215</v>
      </c>
      <c r="C47" t="s">
        <v>355</v>
      </c>
      <c r="D47" s="2">
        <v>832</v>
      </c>
    </row>
    <row r="48" spans="1:4" x14ac:dyDescent="0.25">
      <c r="A48" t="s">
        <v>929</v>
      </c>
      <c r="B48" s="1">
        <v>46215</v>
      </c>
      <c r="C48" t="s">
        <v>593</v>
      </c>
      <c r="D48" s="2">
        <v>437</v>
      </c>
    </row>
    <row r="49" spans="1:4" x14ac:dyDescent="0.25">
      <c r="A49" t="s">
        <v>929</v>
      </c>
      <c r="B49" s="1">
        <v>46215</v>
      </c>
      <c r="C49" t="s">
        <v>721</v>
      </c>
      <c r="D49" s="2">
        <v>828</v>
      </c>
    </row>
    <row r="50" spans="1:4" x14ac:dyDescent="0.25">
      <c r="A50" t="s">
        <v>929</v>
      </c>
      <c r="B50" s="1">
        <v>46216</v>
      </c>
      <c r="C50" t="s">
        <v>227</v>
      </c>
      <c r="D50" s="2">
        <v>495</v>
      </c>
    </row>
    <row r="51" spans="1:4" x14ac:dyDescent="0.25">
      <c r="A51" t="s">
        <v>929</v>
      </c>
      <c r="B51" s="1">
        <v>46216</v>
      </c>
      <c r="C51" t="s">
        <v>355</v>
      </c>
      <c r="D51" s="2">
        <v>1240</v>
      </c>
    </row>
    <row r="52" spans="1:4" x14ac:dyDescent="0.25">
      <c r="A52" t="s">
        <v>929</v>
      </c>
      <c r="B52" s="1">
        <v>46216</v>
      </c>
      <c r="C52" t="s">
        <v>593</v>
      </c>
      <c r="D52" s="2">
        <v>500</v>
      </c>
    </row>
    <row r="53" spans="1:4" x14ac:dyDescent="0.25">
      <c r="A53" t="s">
        <v>929</v>
      </c>
      <c r="B53" s="1">
        <v>46216</v>
      </c>
      <c r="C53" t="s">
        <v>721</v>
      </c>
      <c r="D53" s="2">
        <v>699</v>
      </c>
    </row>
    <row r="54" spans="1:4" x14ac:dyDescent="0.25">
      <c r="A54" t="s">
        <v>929</v>
      </c>
      <c r="B54" s="1">
        <v>46217</v>
      </c>
      <c r="C54" t="s">
        <v>227</v>
      </c>
      <c r="D54" s="2">
        <v>563</v>
      </c>
    </row>
    <row r="55" spans="1:4" x14ac:dyDescent="0.25">
      <c r="A55" t="s">
        <v>929</v>
      </c>
      <c r="B55" s="1">
        <v>46217</v>
      </c>
      <c r="C55" t="s">
        <v>355</v>
      </c>
      <c r="D55" s="2">
        <v>969</v>
      </c>
    </row>
    <row r="56" spans="1:4" x14ac:dyDescent="0.25">
      <c r="A56" t="s">
        <v>929</v>
      </c>
      <c r="B56" s="1">
        <v>46217</v>
      </c>
      <c r="C56" t="s">
        <v>593</v>
      </c>
      <c r="D56" s="2">
        <v>530</v>
      </c>
    </row>
    <row r="57" spans="1:4" x14ac:dyDescent="0.25">
      <c r="A57" t="s">
        <v>929</v>
      </c>
      <c r="B57" s="1">
        <v>46217</v>
      </c>
      <c r="C57" t="s">
        <v>721</v>
      </c>
      <c r="D57" s="2">
        <v>791</v>
      </c>
    </row>
    <row r="58" spans="1:4" x14ac:dyDescent="0.25">
      <c r="A58" t="s">
        <v>929</v>
      </c>
      <c r="B58" s="1">
        <v>46218</v>
      </c>
      <c r="C58" t="s">
        <v>227</v>
      </c>
      <c r="D58" s="2">
        <v>547</v>
      </c>
    </row>
    <row r="59" spans="1:4" x14ac:dyDescent="0.25">
      <c r="A59" t="s">
        <v>929</v>
      </c>
      <c r="B59" s="1">
        <v>46218</v>
      </c>
      <c r="C59" t="s">
        <v>355</v>
      </c>
      <c r="D59" s="2">
        <v>946</v>
      </c>
    </row>
    <row r="60" spans="1:4" x14ac:dyDescent="0.25">
      <c r="A60" t="s">
        <v>929</v>
      </c>
      <c r="B60" s="1">
        <v>46218</v>
      </c>
      <c r="C60" t="s">
        <v>593</v>
      </c>
      <c r="D60" s="2">
        <v>469</v>
      </c>
    </row>
    <row r="61" spans="1:4" x14ac:dyDescent="0.25">
      <c r="A61" t="s">
        <v>929</v>
      </c>
      <c r="B61" s="1">
        <v>46218</v>
      </c>
      <c r="C61" t="s">
        <v>721</v>
      </c>
      <c r="D61" s="2">
        <v>809</v>
      </c>
    </row>
    <row r="62" spans="1:4" x14ac:dyDescent="0.25">
      <c r="A62" t="s">
        <v>929</v>
      </c>
      <c r="B62" s="1">
        <v>46219</v>
      </c>
      <c r="C62" t="s">
        <v>227</v>
      </c>
      <c r="D62" s="2">
        <v>508</v>
      </c>
    </row>
    <row r="63" spans="1:4" x14ac:dyDescent="0.25">
      <c r="A63" t="s">
        <v>929</v>
      </c>
      <c r="B63" s="1">
        <v>46219</v>
      </c>
      <c r="C63" t="s">
        <v>355</v>
      </c>
      <c r="D63" s="2">
        <v>1267</v>
      </c>
    </row>
    <row r="64" spans="1:4" x14ac:dyDescent="0.25">
      <c r="A64" t="s">
        <v>929</v>
      </c>
      <c r="B64" s="1">
        <v>46219</v>
      </c>
      <c r="C64" t="s">
        <v>593</v>
      </c>
      <c r="D64" s="2">
        <v>481</v>
      </c>
    </row>
    <row r="65" spans="1:4" x14ac:dyDescent="0.25">
      <c r="A65" t="s">
        <v>929</v>
      </c>
      <c r="B65" s="1">
        <v>46219</v>
      </c>
      <c r="C65" t="s">
        <v>721</v>
      </c>
      <c r="D65" s="2">
        <v>720</v>
      </c>
    </row>
    <row r="66" spans="1:4" x14ac:dyDescent="0.25">
      <c r="A66" t="s">
        <v>929</v>
      </c>
      <c r="B66" s="1">
        <v>46220</v>
      </c>
      <c r="C66" t="s">
        <v>227</v>
      </c>
      <c r="D66" s="2">
        <v>652</v>
      </c>
    </row>
    <row r="67" spans="1:4" x14ac:dyDescent="0.25">
      <c r="A67" t="s">
        <v>929</v>
      </c>
      <c r="B67" s="1">
        <v>46220</v>
      </c>
      <c r="C67" t="s">
        <v>355</v>
      </c>
      <c r="D67" s="2">
        <v>961</v>
      </c>
    </row>
    <row r="68" spans="1:4" x14ac:dyDescent="0.25">
      <c r="A68" t="s">
        <v>929</v>
      </c>
      <c r="B68" s="1">
        <v>46220</v>
      </c>
      <c r="C68" t="s">
        <v>593</v>
      </c>
      <c r="D68" s="2">
        <v>475</v>
      </c>
    </row>
    <row r="69" spans="1:4" x14ac:dyDescent="0.25">
      <c r="A69" t="s">
        <v>929</v>
      </c>
      <c r="B69" s="1">
        <v>46220</v>
      </c>
      <c r="C69" t="s">
        <v>721</v>
      </c>
      <c r="D69" s="2">
        <v>878</v>
      </c>
    </row>
    <row r="70" spans="1:4" x14ac:dyDescent="0.25">
      <c r="A70" t="s">
        <v>929</v>
      </c>
      <c r="B70" s="1">
        <v>46221</v>
      </c>
      <c r="C70" t="s">
        <v>227</v>
      </c>
      <c r="D70" s="2">
        <v>573</v>
      </c>
    </row>
    <row r="71" spans="1:4" x14ac:dyDescent="0.25">
      <c r="A71" t="s">
        <v>929</v>
      </c>
      <c r="B71" s="1">
        <v>46221</v>
      </c>
      <c r="C71" t="s">
        <v>355</v>
      </c>
      <c r="D71" s="2">
        <v>1016</v>
      </c>
    </row>
    <row r="72" spans="1:4" x14ac:dyDescent="0.25">
      <c r="A72" t="s">
        <v>929</v>
      </c>
      <c r="B72" s="1">
        <v>46221</v>
      </c>
      <c r="C72" t="s">
        <v>593</v>
      </c>
      <c r="D72" s="2">
        <v>493</v>
      </c>
    </row>
    <row r="73" spans="1:4" x14ac:dyDescent="0.25">
      <c r="A73" t="s">
        <v>929</v>
      </c>
      <c r="B73" s="1">
        <v>46221</v>
      </c>
      <c r="C73" t="s">
        <v>721</v>
      </c>
      <c r="D73" s="2">
        <v>912</v>
      </c>
    </row>
    <row r="74" spans="1:4" x14ac:dyDescent="0.25">
      <c r="A74" t="s">
        <v>929</v>
      </c>
      <c r="B74" s="1">
        <v>46222</v>
      </c>
      <c r="C74" t="s">
        <v>227</v>
      </c>
      <c r="D74" s="2">
        <v>537</v>
      </c>
    </row>
    <row r="75" spans="1:4" x14ac:dyDescent="0.25">
      <c r="A75" t="s">
        <v>929</v>
      </c>
      <c r="B75" s="1">
        <v>46222</v>
      </c>
      <c r="C75" t="s">
        <v>355</v>
      </c>
      <c r="D75" s="2">
        <v>817</v>
      </c>
    </row>
    <row r="76" spans="1:4" x14ac:dyDescent="0.25">
      <c r="A76" t="s">
        <v>929</v>
      </c>
      <c r="B76" s="1">
        <v>46222</v>
      </c>
      <c r="C76" t="s">
        <v>593</v>
      </c>
      <c r="D76" s="2">
        <v>390</v>
      </c>
    </row>
    <row r="77" spans="1:4" x14ac:dyDescent="0.25">
      <c r="A77" t="s">
        <v>929</v>
      </c>
      <c r="B77" s="1">
        <v>46222</v>
      </c>
      <c r="C77" t="s">
        <v>721</v>
      </c>
      <c r="D77" s="2">
        <v>798</v>
      </c>
    </row>
    <row r="78" spans="1:4" x14ac:dyDescent="0.25">
      <c r="A78" t="s">
        <v>929</v>
      </c>
      <c r="B78" s="1">
        <v>46223</v>
      </c>
      <c r="C78" t="s">
        <v>227</v>
      </c>
      <c r="D78" s="2">
        <v>560</v>
      </c>
    </row>
    <row r="79" spans="1:4" x14ac:dyDescent="0.25">
      <c r="A79" t="s">
        <v>929</v>
      </c>
      <c r="B79" s="1">
        <v>46223</v>
      </c>
      <c r="C79" t="s">
        <v>355</v>
      </c>
      <c r="D79" s="2">
        <v>1253</v>
      </c>
    </row>
    <row r="80" spans="1:4" x14ac:dyDescent="0.25">
      <c r="A80" t="s">
        <v>929</v>
      </c>
      <c r="B80" s="1">
        <v>46223</v>
      </c>
      <c r="C80" t="s">
        <v>593</v>
      </c>
      <c r="D80" s="2">
        <v>513</v>
      </c>
    </row>
    <row r="81" spans="1:4" x14ac:dyDescent="0.25">
      <c r="A81" t="s">
        <v>929</v>
      </c>
      <c r="B81" s="1">
        <v>46223</v>
      </c>
      <c r="C81" t="s">
        <v>721</v>
      </c>
      <c r="D81" s="2">
        <v>860</v>
      </c>
    </row>
    <row r="82" spans="1:4" x14ac:dyDescent="0.25">
      <c r="A82" t="s">
        <v>929</v>
      </c>
      <c r="B82" s="1">
        <v>46224</v>
      </c>
      <c r="C82" t="s">
        <v>227</v>
      </c>
      <c r="D82" s="2">
        <v>533</v>
      </c>
    </row>
    <row r="83" spans="1:4" x14ac:dyDescent="0.25">
      <c r="A83" t="s">
        <v>929</v>
      </c>
      <c r="B83" s="1">
        <v>46224</v>
      </c>
      <c r="C83" t="s">
        <v>355</v>
      </c>
      <c r="D83" s="2">
        <v>947</v>
      </c>
    </row>
    <row r="84" spans="1:4" x14ac:dyDescent="0.25">
      <c r="A84" t="s">
        <v>929</v>
      </c>
      <c r="B84" s="1">
        <v>46224</v>
      </c>
      <c r="C84" t="s">
        <v>593</v>
      </c>
      <c r="D84" s="2">
        <v>479</v>
      </c>
    </row>
    <row r="85" spans="1:4" x14ac:dyDescent="0.25">
      <c r="A85" t="s">
        <v>929</v>
      </c>
      <c r="B85" s="1">
        <v>46224</v>
      </c>
      <c r="C85" t="s">
        <v>721</v>
      </c>
      <c r="D85" s="2">
        <v>734</v>
      </c>
    </row>
    <row r="86" spans="1:4" x14ac:dyDescent="0.25">
      <c r="A86" t="s">
        <v>929</v>
      </c>
      <c r="B86" s="1">
        <v>46225</v>
      </c>
      <c r="C86" t="s">
        <v>227</v>
      </c>
      <c r="D86" s="2">
        <v>573</v>
      </c>
    </row>
    <row r="87" spans="1:4" x14ac:dyDescent="0.25">
      <c r="A87" t="s">
        <v>929</v>
      </c>
      <c r="B87" s="1">
        <v>46225</v>
      </c>
      <c r="C87" t="s">
        <v>355</v>
      </c>
      <c r="D87" s="2">
        <v>915</v>
      </c>
    </row>
    <row r="88" spans="1:4" x14ac:dyDescent="0.25">
      <c r="A88" t="s">
        <v>929</v>
      </c>
      <c r="B88" s="1">
        <v>46225</v>
      </c>
      <c r="C88" t="s">
        <v>593</v>
      </c>
      <c r="D88" s="2">
        <v>465</v>
      </c>
    </row>
    <row r="89" spans="1:4" x14ac:dyDescent="0.25">
      <c r="A89" t="s">
        <v>929</v>
      </c>
      <c r="B89" s="1">
        <v>46225</v>
      </c>
      <c r="C89" t="s">
        <v>721</v>
      </c>
      <c r="D89" s="2">
        <v>711</v>
      </c>
    </row>
    <row r="90" spans="1:4" x14ac:dyDescent="0.25">
      <c r="A90" t="s">
        <v>929</v>
      </c>
      <c r="B90" s="1">
        <v>46226</v>
      </c>
      <c r="C90" t="s">
        <v>227</v>
      </c>
      <c r="D90" s="2">
        <v>481</v>
      </c>
    </row>
    <row r="91" spans="1:4" x14ac:dyDescent="0.25">
      <c r="A91" t="s">
        <v>929</v>
      </c>
      <c r="B91" s="1">
        <v>46226</v>
      </c>
      <c r="C91" t="s">
        <v>355</v>
      </c>
      <c r="D91" s="2">
        <v>1209</v>
      </c>
    </row>
    <row r="92" spans="1:4" x14ac:dyDescent="0.25">
      <c r="A92" t="s">
        <v>929</v>
      </c>
      <c r="B92" s="1">
        <v>46226</v>
      </c>
      <c r="C92" t="s">
        <v>593</v>
      </c>
      <c r="D92" s="2">
        <v>463</v>
      </c>
    </row>
    <row r="93" spans="1:4" x14ac:dyDescent="0.25">
      <c r="A93" t="s">
        <v>929</v>
      </c>
      <c r="B93" s="1">
        <v>46226</v>
      </c>
      <c r="C93" t="s">
        <v>721</v>
      </c>
      <c r="D93" s="2">
        <v>798</v>
      </c>
    </row>
    <row r="94" spans="1:4" x14ac:dyDescent="0.25">
      <c r="A94" t="s">
        <v>929</v>
      </c>
      <c r="B94" s="1">
        <v>46227</v>
      </c>
      <c r="C94" t="s">
        <v>227</v>
      </c>
      <c r="D94" s="2">
        <v>589</v>
      </c>
    </row>
    <row r="95" spans="1:4" x14ac:dyDescent="0.25">
      <c r="A95" t="s">
        <v>929</v>
      </c>
      <c r="B95" s="1">
        <v>46227</v>
      </c>
      <c r="C95" t="s">
        <v>355</v>
      </c>
      <c r="D95" s="2">
        <v>1012</v>
      </c>
    </row>
    <row r="96" spans="1:4" x14ac:dyDescent="0.25">
      <c r="A96" t="s">
        <v>929</v>
      </c>
      <c r="B96" s="1">
        <v>46227</v>
      </c>
      <c r="C96" t="s">
        <v>593</v>
      </c>
      <c r="D96" s="2">
        <v>470</v>
      </c>
    </row>
    <row r="97" spans="1:4" x14ac:dyDescent="0.25">
      <c r="A97" t="s">
        <v>929</v>
      </c>
      <c r="B97" s="1">
        <v>46227</v>
      </c>
      <c r="C97" t="s">
        <v>721</v>
      </c>
      <c r="D97" s="2">
        <v>804</v>
      </c>
    </row>
    <row r="98" spans="1:4" x14ac:dyDescent="0.25">
      <c r="A98" t="s">
        <v>929</v>
      </c>
      <c r="B98" s="1">
        <v>46228</v>
      </c>
      <c r="C98" t="s">
        <v>227</v>
      </c>
      <c r="D98" s="2">
        <v>508</v>
      </c>
    </row>
    <row r="99" spans="1:4" x14ac:dyDescent="0.25">
      <c r="A99" t="s">
        <v>929</v>
      </c>
      <c r="B99" s="1">
        <v>46228</v>
      </c>
      <c r="C99" t="s">
        <v>355</v>
      </c>
      <c r="D99" s="2">
        <v>1055</v>
      </c>
    </row>
    <row r="100" spans="1:4" x14ac:dyDescent="0.25">
      <c r="A100" t="s">
        <v>929</v>
      </c>
      <c r="B100" s="1">
        <v>46228</v>
      </c>
      <c r="C100" t="s">
        <v>593</v>
      </c>
      <c r="D100" s="2">
        <v>527</v>
      </c>
    </row>
    <row r="101" spans="1:4" x14ac:dyDescent="0.25">
      <c r="A101" t="s">
        <v>929</v>
      </c>
      <c r="B101" s="1">
        <v>46228</v>
      </c>
      <c r="C101" t="s">
        <v>721</v>
      </c>
      <c r="D101" s="2">
        <v>884</v>
      </c>
    </row>
    <row r="102" spans="1:4" x14ac:dyDescent="0.25">
      <c r="A102" t="s">
        <v>929</v>
      </c>
      <c r="B102" s="1">
        <v>46229</v>
      </c>
      <c r="C102" t="s">
        <v>227</v>
      </c>
      <c r="D102" s="2">
        <v>470</v>
      </c>
    </row>
    <row r="103" spans="1:4" x14ac:dyDescent="0.25">
      <c r="A103" t="s">
        <v>929</v>
      </c>
      <c r="B103" s="1">
        <v>46229</v>
      </c>
      <c r="C103" t="s">
        <v>355</v>
      </c>
      <c r="D103" s="2">
        <v>818</v>
      </c>
    </row>
    <row r="104" spans="1:4" x14ac:dyDescent="0.25">
      <c r="A104" t="s">
        <v>929</v>
      </c>
      <c r="B104" s="1">
        <v>46229</v>
      </c>
      <c r="C104" t="s">
        <v>593</v>
      </c>
      <c r="D104" s="2">
        <v>343</v>
      </c>
    </row>
    <row r="105" spans="1:4" x14ac:dyDescent="0.25">
      <c r="A105" t="s">
        <v>929</v>
      </c>
      <c r="B105" s="1">
        <v>46229</v>
      </c>
      <c r="C105" t="s">
        <v>721</v>
      </c>
      <c r="D105" s="2">
        <v>748</v>
      </c>
    </row>
    <row r="106" spans="1:4" x14ac:dyDescent="0.25">
      <c r="A106" t="s">
        <v>929</v>
      </c>
      <c r="B106" s="1">
        <v>46230</v>
      </c>
      <c r="C106" t="s">
        <v>227</v>
      </c>
      <c r="D106" s="2">
        <v>498</v>
      </c>
    </row>
    <row r="107" spans="1:4" x14ac:dyDescent="0.25">
      <c r="A107" t="s">
        <v>929</v>
      </c>
      <c r="B107" s="1">
        <v>46230</v>
      </c>
      <c r="C107" t="s">
        <v>355</v>
      </c>
      <c r="D107" s="2">
        <v>1278</v>
      </c>
    </row>
    <row r="108" spans="1:4" x14ac:dyDescent="0.25">
      <c r="A108" t="s">
        <v>929</v>
      </c>
      <c r="B108" s="1">
        <v>46230</v>
      </c>
      <c r="C108" t="s">
        <v>593</v>
      </c>
      <c r="D108" s="2">
        <v>474</v>
      </c>
    </row>
    <row r="109" spans="1:4" x14ac:dyDescent="0.25">
      <c r="A109" t="s">
        <v>929</v>
      </c>
      <c r="B109" s="1">
        <v>46230</v>
      </c>
      <c r="C109" t="s">
        <v>721</v>
      </c>
      <c r="D109" s="2">
        <v>812</v>
      </c>
    </row>
    <row r="110" spans="1:4" x14ac:dyDescent="0.25">
      <c r="A110" t="s">
        <v>929</v>
      </c>
      <c r="B110" s="1">
        <v>46231</v>
      </c>
      <c r="C110" t="s">
        <v>227</v>
      </c>
      <c r="D110" s="2">
        <v>556</v>
      </c>
    </row>
    <row r="111" spans="1:4" x14ac:dyDescent="0.25">
      <c r="A111" t="s">
        <v>929</v>
      </c>
      <c r="B111" s="1">
        <v>46231</v>
      </c>
      <c r="C111" t="s">
        <v>355</v>
      </c>
      <c r="D111" s="2">
        <v>957</v>
      </c>
    </row>
    <row r="112" spans="1:4" x14ac:dyDescent="0.25">
      <c r="A112" t="s">
        <v>929</v>
      </c>
      <c r="B112" s="1">
        <v>46231</v>
      </c>
      <c r="C112" t="s">
        <v>593</v>
      </c>
      <c r="D112" s="2">
        <v>470</v>
      </c>
    </row>
    <row r="113" spans="1:4" x14ac:dyDescent="0.25">
      <c r="A113" t="s">
        <v>929</v>
      </c>
      <c r="B113" s="1">
        <v>46231</v>
      </c>
      <c r="C113" t="s">
        <v>721</v>
      </c>
      <c r="D113" s="2">
        <v>773</v>
      </c>
    </row>
    <row r="114" spans="1:4" x14ac:dyDescent="0.25">
      <c r="A114" t="s">
        <v>929</v>
      </c>
      <c r="B114" s="1">
        <v>46232</v>
      </c>
      <c r="C114" t="s">
        <v>227</v>
      </c>
      <c r="D114" s="2">
        <v>527</v>
      </c>
    </row>
    <row r="115" spans="1:4" x14ac:dyDescent="0.25">
      <c r="A115" t="s">
        <v>929</v>
      </c>
      <c r="B115" s="1">
        <v>46232</v>
      </c>
      <c r="C115" t="s">
        <v>355</v>
      </c>
      <c r="D115" s="2">
        <v>801</v>
      </c>
    </row>
    <row r="116" spans="1:4" x14ac:dyDescent="0.25">
      <c r="A116" t="s">
        <v>929</v>
      </c>
      <c r="B116" s="1">
        <v>46232</v>
      </c>
      <c r="C116" t="s">
        <v>593</v>
      </c>
      <c r="D116" s="2">
        <v>505</v>
      </c>
    </row>
    <row r="117" spans="1:4" x14ac:dyDescent="0.25">
      <c r="A117" t="s">
        <v>929</v>
      </c>
      <c r="B117" s="1">
        <v>46232</v>
      </c>
      <c r="C117" t="s">
        <v>721</v>
      </c>
      <c r="D117" s="2">
        <v>738</v>
      </c>
    </row>
    <row r="118" spans="1:4" x14ac:dyDescent="0.25">
      <c r="A118" t="s">
        <v>929</v>
      </c>
      <c r="B118" s="1">
        <v>46233</v>
      </c>
      <c r="C118" t="s">
        <v>227</v>
      </c>
      <c r="D118" s="2">
        <v>480</v>
      </c>
    </row>
    <row r="119" spans="1:4" x14ac:dyDescent="0.25">
      <c r="A119" t="s">
        <v>929</v>
      </c>
      <c r="B119" s="1">
        <v>46233</v>
      </c>
      <c r="C119" t="s">
        <v>355</v>
      </c>
      <c r="D119" s="2">
        <v>1137</v>
      </c>
    </row>
    <row r="120" spans="1:4" x14ac:dyDescent="0.25">
      <c r="A120" t="s">
        <v>929</v>
      </c>
      <c r="B120" s="1">
        <v>46233</v>
      </c>
      <c r="C120" t="s">
        <v>593</v>
      </c>
      <c r="D120" s="2">
        <v>419</v>
      </c>
    </row>
    <row r="121" spans="1:4" x14ac:dyDescent="0.25">
      <c r="A121" t="s">
        <v>929</v>
      </c>
      <c r="B121" s="1">
        <v>46233</v>
      </c>
      <c r="C121" t="s">
        <v>721</v>
      </c>
      <c r="D121" s="2">
        <v>740</v>
      </c>
    </row>
    <row r="122" spans="1:4" x14ac:dyDescent="0.25">
      <c r="A122" t="s">
        <v>929</v>
      </c>
      <c r="B122" s="1">
        <v>46234</v>
      </c>
      <c r="C122" t="s">
        <v>227</v>
      </c>
      <c r="D122" s="2">
        <v>550</v>
      </c>
    </row>
    <row r="123" spans="1:4" x14ac:dyDescent="0.25">
      <c r="A123" t="s">
        <v>929</v>
      </c>
      <c r="B123" s="1">
        <v>46234</v>
      </c>
      <c r="C123" t="s">
        <v>355</v>
      </c>
      <c r="D123" s="2">
        <v>1055</v>
      </c>
    </row>
    <row r="124" spans="1:4" x14ac:dyDescent="0.25">
      <c r="A124" t="s">
        <v>929</v>
      </c>
      <c r="B124" s="1">
        <v>46234</v>
      </c>
      <c r="C124" t="s">
        <v>593</v>
      </c>
      <c r="D124" s="2">
        <v>496</v>
      </c>
    </row>
    <row r="125" spans="1:4" x14ac:dyDescent="0.25">
      <c r="A125" t="s">
        <v>929</v>
      </c>
      <c r="B125" s="1">
        <v>46234</v>
      </c>
      <c r="C125" t="s">
        <v>721</v>
      </c>
      <c r="D125" s="2">
        <v>843</v>
      </c>
    </row>
    <row r="126" spans="1:4" x14ac:dyDescent="0.25">
      <c r="A126" t="s">
        <v>4</v>
      </c>
      <c r="B126" s="1">
        <v>46235</v>
      </c>
      <c r="C126" t="s">
        <v>6</v>
      </c>
      <c r="D126" s="2">
        <v>1097</v>
      </c>
    </row>
    <row r="127" spans="1:4" x14ac:dyDescent="0.25">
      <c r="A127" t="s">
        <v>4</v>
      </c>
      <c r="B127" s="1">
        <v>46235</v>
      </c>
      <c r="C127" t="s">
        <v>227</v>
      </c>
      <c r="D127" s="2">
        <v>572</v>
      </c>
    </row>
    <row r="128" spans="1:4" x14ac:dyDescent="0.25">
      <c r="A128" t="s">
        <v>4</v>
      </c>
      <c r="B128" s="1">
        <v>46235</v>
      </c>
      <c r="C128" t="s">
        <v>355</v>
      </c>
      <c r="D128" s="2">
        <v>1034</v>
      </c>
    </row>
    <row r="129" spans="1:4" x14ac:dyDescent="0.25">
      <c r="A129" t="s">
        <v>4</v>
      </c>
      <c r="B129" s="1">
        <v>46235</v>
      </c>
      <c r="C129" t="s">
        <v>593</v>
      </c>
      <c r="D129" s="2">
        <v>574</v>
      </c>
    </row>
    <row r="130" spans="1:4" x14ac:dyDescent="0.25">
      <c r="A130" t="s">
        <v>4</v>
      </c>
      <c r="B130" s="1">
        <v>46235</v>
      </c>
      <c r="C130" t="s">
        <v>721</v>
      </c>
      <c r="D130" s="2">
        <v>910</v>
      </c>
    </row>
    <row r="131" spans="1:4" x14ac:dyDescent="0.25">
      <c r="A131" t="s">
        <v>4</v>
      </c>
      <c r="B131" s="1">
        <v>46236</v>
      </c>
      <c r="C131" t="s">
        <v>6</v>
      </c>
      <c r="D131" s="2">
        <v>976</v>
      </c>
    </row>
    <row r="132" spans="1:4" x14ac:dyDescent="0.25">
      <c r="A132" t="s">
        <v>4</v>
      </c>
      <c r="B132" s="1">
        <v>46236</v>
      </c>
      <c r="C132" t="s">
        <v>227</v>
      </c>
      <c r="D132" s="2">
        <v>537</v>
      </c>
    </row>
    <row r="133" spans="1:4" x14ac:dyDescent="0.25">
      <c r="A133" t="s">
        <v>4</v>
      </c>
      <c r="B133" s="1">
        <v>46236</v>
      </c>
      <c r="C133" t="s">
        <v>355</v>
      </c>
      <c r="D133" s="2">
        <v>870</v>
      </c>
    </row>
    <row r="134" spans="1:4" x14ac:dyDescent="0.25">
      <c r="A134" t="s">
        <v>4</v>
      </c>
      <c r="B134" s="1">
        <v>46236</v>
      </c>
      <c r="C134" t="s">
        <v>593</v>
      </c>
      <c r="D134" s="2">
        <v>433</v>
      </c>
    </row>
    <row r="135" spans="1:4" x14ac:dyDescent="0.25">
      <c r="A135" t="s">
        <v>4</v>
      </c>
      <c r="B135" s="1">
        <v>46236</v>
      </c>
      <c r="C135" t="s">
        <v>721</v>
      </c>
      <c r="D135" s="2">
        <v>770</v>
      </c>
    </row>
    <row r="136" spans="1:4" x14ac:dyDescent="0.25">
      <c r="A136" t="s">
        <v>4</v>
      </c>
      <c r="B136" s="1">
        <v>46237</v>
      </c>
      <c r="C136" t="s">
        <v>6</v>
      </c>
      <c r="D136" s="2">
        <v>1025</v>
      </c>
    </row>
    <row r="137" spans="1:4" x14ac:dyDescent="0.25">
      <c r="A137" t="s">
        <v>4</v>
      </c>
      <c r="B137" s="1">
        <v>46237</v>
      </c>
      <c r="C137" t="s">
        <v>227</v>
      </c>
      <c r="D137" s="2">
        <v>468</v>
      </c>
    </row>
    <row r="138" spans="1:4" x14ac:dyDescent="0.25">
      <c r="A138" t="s">
        <v>4</v>
      </c>
      <c r="B138" s="1">
        <v>46237</v>
      </c>
      <c r="C138" t="s">
        <v>355</v>
      </c>
      <c r="D138" s="2">
        <v>1300</v>
      </c>
    </row>
    <row r="139" spans="1:4" x14ac:dyDescent="0.25">
      <c r="A139" t="s">
        <v>4</v>
      </c>
      <c r="B139" s="1">
        <v>46237</v>
      </c>
      <c r="C139" t="s">
        <v>593</v>
      </c>
      <c r="D139" s="2">
        <v>496</v>
      </c>
    </row>
    <row r="140" spans="1:4" x14ac:dyDescent="0.25">
      <c r="A140" t="s">
        <v>4</v>
      </c>
      <c r="B140" s="1">
        <v>46237</v>
      </c>
      <c r="C140" t="s">
        <v>721</v>
      </c>
      <c r="D140" s="2">
        <v>783</v>
      </c>
    </row>
    <row r="141" spans="1:4" x14ac:dyDescent="0.25">
      <c r="A141" t="s">
        <v>4</v>
      </c>
      <c r="B141" s="1">
        <v>46238</v>
      </c>
      <c r="C141" t="s">
        <v>6</v>
      </c>
      <c r="D141" s="2">
        <v>1010</v>
      </c>
    </row>
    <row r="142" spans="1:4" x14ac:dyDescent="0.25">
      <c r="A142" t="s">
        <v>4</v>
      </c>
      <c r="B142" s="1">
        <v>46238</v>
      </c>
      <c r="C142" t="s">
        <v>227</v>
      </c>
      <c r="D142" s="2">
        <v>589</v>
      </c>
    </row>
    <row r="143" spans="1:4" x14ac:dyDescent="0.25">
      <c r="A143" t="s">
        <v>4</v>
      </c>
      <c r="B143" s="1">
        <v>46238</v>
      </c>
      <c r="C143" t="s">
        <v>355</v>
      </c>
      <c r="D143" s="2">
        <v>912</v>
      </c>
    </row>
    <row r="144" spans="1:4" x14ac:dyDescent="0.25">
      <c r="A144" t="s">
        <v>4</v>
      </c>
      <c r="B144" s="1">
        <v>46238</v>
      </c>
      <c r="C144" t="s">
        <v>593</v>
      </c>
      <c r="D144" s="2">
        <v>495</v>
      </c>
    </row>
    <row r="145" spans="1:4" x14ac:dyDescent="0.25">
      <c r="A145" t="s">
        <v>4</v>
      </c>
      <c r="B145" s="1">
        <v>46238</v>
      </c>
      <c r="C145" t="s">
        <v>721</v>
      </c>
      <c r="D145" s="2">
        <v>726</v>
      </c>
    </row>
    <row r="146" spans="1:4" x14ac:dyDescent="0.25">
      <c r="A146" t="s">
        <v>4</v>
      </c>
      <c r="B146" s="1">
        <v>46239</v>
      </c>
      <c r="C146" t="s">
        <v>6</v>
      </c>
      <c r="D146" s="2">
        <v>982</v>
      </c>
    </row>
    <row r="147" spans="1:4" x14ac:dyDescent="0.25">
      <c r="A147" t="s">
        <v>4</v>
      </c>
      <c r="B147" s="1">
        <v>46239</v>
      </c>
      <c r="C147" t="s">
        <v>227</v>
      </c>
      <c r="D147" s="2">
        <v>463</v>
      </c>
    </row>
    <row r="148" spans="1:4" x14ac:dyDescent="0.25">
      <c r="A148" t="s">
        <v>4</v>
      </c>
      <c r="B148" s="1">
        <v>46239</v>
      </c>
      <c r="C148" t="s">
        <v>355</v>
      </c>
      <c r="D148" s="2">
        <v>891</v>
      </c>
    </row>
    <row r="149" spans="1:4" x14ac:dyDescent="0.25">
      <c r="A149" t="s">
        <v>4</v>
      </c>
      <c r="B149" s="1">
        <v>46239</v>
      </c>
      <c r="C149" t="s">
        <v>593</v>
      </c>
      <c r="D149" s="2">
        <v>456</v>
      </c>
    </row>
    <row r="150" spans="1:4" x14ac:dyDescent="0.25">
      <c r="A150" t="s">
        <v>4</v>
      </c>
      <c r="B150" s="1">
        <v>46239</v>
      </c>
      <c r="C150" t="s">
        <v>721</v>
      </c>
      <c r="D150" s="2">
        <v>724</v>
      </c>
    </row>
    <row r="151" spans="1:4" x14ac:dyDescent="0.25">
      <c r="A151" t="s">
        <v>4</v>
      </c>
      <c r="B151" s="1">
        <v>46240</v>
      </c>
      <c r="C151" t="s">
        <v>6</v>
      </c>
      <c r="D151" s="2">
        <v>932</v>
      </c>
    </row>
    <row r="152" spans="1:4" x14ac:dyDescent="0.25">
      <c r="A152" t="s">
        <v>4</v>
      </c>
      <c r="B152" s="1">
        <v>46240</v>
      </c>
      <c r="C152" t="s">
        <v>227</v>
      </c>
      <c r="D152" s="2">
        <v>494</v>
      </c>
    </row>
    <row r="153" spans="1:4" x14ac:dyDescent="0.25">
      <c r="A153" t="s">
        <v>4</v>
      </c>
      <c r="B153" s="1">
        <v>46240</v>
      </c>
      <c r="C153" t="s">
        <v>355</v>
      </c>
      <c r="D153" s="2">
        <v>1234</v>
      </c>
    </row>
    <row r="154" spans="1:4" x14ac:dyDescent="0.25">
      <c r="A154" t="s">
        <v>4</v>
      </c>
      <c r="B154" s="1">
        <v>46240</v>
      </c>
      <c r="C154" t="s">
        <v>593</v>
      </c>
      <c r="D154" s="2">
        <v>457</v>
      </c>
    </row>
    <row r="155" spans="1:4" x14ac:dyDescent="0.25">
      <c r="A155" t="s">
        <v>4</v>
      </c>
      <c r="B155" s="1">
        <v>46240</v>
      </c>
      <c r="C155" t="s">
        <v>721</v>
      </c>
      <c r="D155" s="2">
        <v>690</v>
      </c>
    </row>
    <row r="156" spans="1:4" x14ac:dyDescent="0.25">
      <c r="A156" t="s">
        <v>4</v>
      </c>
      <c r="B156" s="1">
        <v>46241</v>
      </c>
      <c r="C156" t="s">
        <v>6</v>
      </c>
      <c r="D156" s="2">
        <v>981</v>
      </c>
    </row>
    <row r="157" spans="1:4" x14ac:dyDescent="0.25">
      <c r="A157" t="s">
        <v>4</v>
      </c>
      <c r="B157" s="1">
        <v>46241</v>
      </c>
      <c r="C157" t="s">
        <v>227</v>
      </c>
      <c r="D157" s="2">
        <v>608</v>
      </c>
    </row>
    <row r="158" spans="1:4" x14ac:dyDescent="0.25">
      <c r="A158" t="s">
        <v>4</v>
      </c>
      <c r="B158" s="1">
        <v>46241</v>
      </c>
      <c r="C158" t="s">
        <v>355</v>
      </c>
      <c r="D158" s="2">
        <v>913</v>
      </c>
    </row>
    <row r="159" spans="1:4" x14ac:dyDescent="0.25">
      <c r="A159" t="s">
        <v>4</v>
      </c>
      <c r="B159" s="1">
        <v>46241</v>
      </c>
      <c r="C159" t="s">
        <v>593</v>
      </c>
      <c r="D159" s="2">
        <v>458</v>
      </c>
    </row>
    <row r="160" spans="1:4" x14ac:dyDescent="0.25">
      <c r="A160" t="s">
        <v>4</v>
      </c>
      <c r="B160" s="1">
        <v>46241</v>
      </c>
      <c r="C160" t="s">
        <v>721</v>
      </c>
      <c r="D160" s="2">
        <v>849</v>
      </c>
    </row>
    <row r="161" spans="1:4" x14ac:dyDescent="0.25">
      <c r="A161" t="s">
        <v>4</v>
      </c>
      <c r="B161" s="1">
        <v>46242</v>
      </c>
      <c r="C161" t="s">
        <v>6</v>
      </c>
      <c r="D161" s="2">
        <v>1062</v>
      </c>
    </row>
    <row r="162" spans="1:4" x14ac:dyDescent="0.25">
      <c r="A162" t="s">
        <v>4</v>
      </c>
      <c r="B162" s="1">
        <v>46242</v>
      </c>
      <c r="C162" t="s">
        <v>227</v>
      </c>
      <c r="D162" s="2">
        <v>512</v>
      </c>
    </row>
    <row r="163" spans="1:4" x14ac:dyDescent="0.25">
      <c r="A163" t="s">
        <v>4</v>
      </c>
      <c r="B163" s="1">
        <v>46242</v>
      </c>
      <c r="C163" t="s">
        <v>355</v>
      </c>
      <c r="D163" s="2">
        <v>883</v>
      </c>
    </row>
    <row r="164" spans="1:4" x14ac:dyDescent="0.25">
      <c r="A164" t="s">
        <v>4</v>
      </c>
      <c r="B164" s="1">
        <v>46242</v>
      </c>
      <c r="C164" t="s">
        <v>593</v>
      </c>
      <c r="D164" s="2">
        <v>474</v>
      </c>
    </row>
    <row r="165" spans="1:4" x14ac:dyDescent="0.25">
      <c r="A165" t="s">
        <v>4</v>
      </c>
      <c r="B165" s="1">
        <v>46242</v>
      </c>
      <c r="C165" t="s">
        <v>721</v>
      </c>
      <c r="D165" s="2">
        <v>818</v>
      </c>
    </row>
    <row r="166" spans="1:4" x14ac:dyDescent="0.25">
      <c r="A166" t="s">
        <v>4</v>
      </c>
      <c r="B166" s="1">
        <v>46243</v>
      </c>
      <c r="C166" t="s">
        <v>6</v>
      </c>
      <c r="D166" s="2">
        <v>836</v>
      </c>
    </row>
    <row r="167" spans="1:4" x14ac:dyDescent="0.25">
      <c r="A167" t="s">
        <v>4</v>
      </c>
      <c r="B167" s="1">
        <v>46243</v>
      </c>
      <c r="C167" t="s">
        <v>227</v>
      </c>
      <c r="D167" s="2">
        <v>456</v>
      </c>
    </row>
    <row r="168" spans="1:4" x14ac:dyDescent="0.25">
      <c r="A168" t="s">
        <v>4</v>
      </c>
      <c r="B168" s="1">
        <v>46243</v>
      </c>
      <c r="C168" t="s">
        <v>355</v>
      </c>
      <c r="D168" s="2">
        <v>821</v>
      </c>
    </row>
    <row r="169" spans="1:4" x14ac:dyDescent="0.25">
      <c r="A169" t="s">
        <v>4</v>
      </c>
      <c r="B169" s="1">
        <v>46243</v>
      </c>
      <c r="C169" t="s">
        <v>593</v>
      </c>
      <c r="D169" s="2">
        <v>433</v>
      </c>
    </row>
    <row r="170" spans="1:4" x14ac:dyDescent="0.25">
      <c r="A170" t="s">
        <v>4</v>
      </c>
      <c r="B170" s="1">
        <v>46243</v>
      </c>
      <c r="C170" t="s">
        <v>721</v>
      </c>
      <c r="D170" s="2">
        <v>809</v>
      </c>
    </row>
    <row r="171" spans="1:4" x14ac:dyDescent="0.25">
      <c r="A171" t="s">
        <v>4</v>
      </c>
      <c r="B171" s="1">
        <v>46244</v>
      </c>
      <c r="C171" t="s">
        <v>6</v>
      </c>
      <c r="D171" s="2">
        <v>970</v>
      </c>
    </row>
    <row r="172" spans="1:4" x14ac:dyDescent="0.25">
      <c r="A172" t="s">
        <v>4</v>
      </c>
      <c r="B172" s="1">
        <v>46244</v>
      </c>
      <c r="C172" t="s">
        <v>227</v>
      </c>
      <c r="D172" s="2">
        <v>502</v>
      </c>
    </row>
    <row r="173" spans="1:4" x14ac:dyDescent="0.25">
      <c r="A173" t="s">
        <v>4</v>
      </c>
      <c r="B173" s="1">
        <v>46244</v>
      </c>
      <c r="C173" t="s">
        <v>355</v>
      </c>
      <c r="D173" s="2">
        <v>1365</v>
      </c>
    </row>
    <row r="174" spans="1:4" x14ac:dyDescent="0.25">
      <c r="A174" t="s">
        <v>4</v>
      </c>
      <c r="B174" s="1">
        <v>46244</v>
      </c>
      <c r="C174" t="s">
        <v>593</v>
      </c>
      <c r="D174" s="2">
        <v>502</v>
      </c>
    </row>
    <row r="175" spans="1:4" x14ac:dyDescent="0.25">
      <c r="A175" t="s">
        <v>4</v>
      </c>
      <c r="B175" s="1">
        <v>46244</v>
      </c>
      <c r="C175" t="s">
        <v>721</v>
      </c>
      <c r="D175" s="2">
        <v>827</v>
      </c>
    </row>
    <row r="176" spans="1:4" x14ac:dyDescent="0.25">
      <c r="A176" t="s">
        <v>4</v>
      </c>
      <c r="B176" s="1">
        <v>46245</v>
      </c>
      <c r="C176" t="s">
        <v>6</v>
      </c>
      <c r="D176" s="2">
        <v>1036</v>
      </c>
    </row>
    <row r="177" spans="1:4" x14ac:dyDescent="0.25">
      <c r="A177" t="s">
        <v>4</v>
      </c>
      <c r="B177" s="1">
        <v>46245</v>
      </c>
      <c r="C177" t="s">
        <v>227</v>
      </c>
      <c r="D177" s="2">
        <v>627</v>
      </c>
    </row>
    <row r="178" spans="1:4" x14ac:dyDescent="0.25">
      <c r="A178" t="s">
        <v>4</v>
      </c>
      <c r="B178" s="1">
        <v>46245</v>
      </c>
      <c r="C178" t="s">
        <v>355</v>
      </c>
      <c r="D178" s="2">
        <v>942</v>
      </c>
    </row>
    <row r="179" spans="1:4" x14ac:dyDescent="0.25">
      <c r="A179" t="s">
        <v>4</v>
      </c>
      <c r="B179" s="1">
        <v>46245</v>
      </c>
      <c r="C179" t="s">
        <v>593</v>
      </c>
      <c r="D179" s="2">
        <v>465</v>
      </c>
    </row>
    <row r="180" spans="1:4" x14ac:dyDescent="0.25">
      <c r="A180" t="s">
        <v>4</v>
      </c>
      <c r="B180" s="1">
        <v>46245</v>
      </c>
      <c r="C180" t="s">
        <v>721</v>
      </c>
      <c r="D180" s="2">
        <v>756</v>
      </c>
    </row>
    <row r="181" spans="1:4" x14ac:dyDescent="0.25">
      <c r="A181" t="s">
        <v>4</v>
      </c>
      <c r="B181" s="1">
        <v>46246</v>
      </c>
      <c r="C181" t="s">
        <v>6</v>
      </c>
      <c r="D181" s="2">
        <v>912</v>
      </c>
    </row>
    <row r="182" spans="1:4" x14ac:dyDescent="0.25">
      <c r="A182" t="s">
        <v>4</v>
      </c>
      <c r="B182" s="1">
        <v>46246</v>
      </c>
      <c r="C182" t="s">
        <v>227</v>
      </c>
      <c r="D182" s="2">
        <v>517</v>
      </c>
    </row>
    <row r="183" spans="1:4" x14ac:dyDescent="0.25">
      <c r="A183" t="s">
        <v>4</v>
      </c>
      <c r="B183" s="1">
        <v>46246</v>
      </c>
      <c r="C183" t="s">
        <v>355</v>
      </c>
      <c r="D183" s="2">
        <v>849</v>
      </c>
    </row>
    <row r="184" spans="1:4" x14ac:dyDescent="0.25">
      <c r="A184" t="s">
        <v>4</v>
      </c>
      <c r="B184" s="1">
        <v>46246</v>
      </c>
      <c r="C184" t="s">
        <v>593</v>
      </c>
      <c r="D184" s="2">
        <v>460</v>
      </c>
    </row>
    <row r="185" spans="1:4" x14ac:dyDescent="0.25">
      <c r="A185" t="s">
        <v>4</v>
      </c>
      <c r="B185" s="1">
        <v>46246</v>
      </c>
      <c r="C185" t="s">
        <v>721</v>
      </c>
      <c r="D185" s="2">
        <v>703</v>
      </c>
    </row>
    <row r="186" spans="1:4" x14ac:dyDescent="0.25">
      <c r="A186" t="s">
        <v>4</v>
      </c>
      <c r="B186" s="1">
        <v>46247</v>
      </c>
      <c r="C186" t="s">
        <v>6</v>
      </c>
      <c r="D186" s="2">
        <v>911</v>
      </c>
    </row>
    <row r="187" spans="1:4" x14ac:dyDescent="0.25">
      <c r="A187" t="s">
        <v>4</v>
      </c>
      <c r="B187" s="1">
        <v>46247</v>
      </c>
      <c r="C187" t="s">
        <v>227</v>
      </c>
      <c r="D187" s="2">
        <v>482</v>
      </c>
    </row>
    <row r="188" spans="1:4" x14ac:dyDescent="0.25">
      <c r="A188" t="s">
        <v>4</v>
      </c>
      <c r="B188" s="1">
        <v>46247</v>
      </c>
      <c r="C188" t="s">
        <v>355</v>
      </c>
      <c r="D188" s="2">
        <v>1229</v>
      </c>
    </row>
    <row r="189" spans="1:4" x14ac:dyDescent="0.25">
      <c r="A189" t="s">
        <v>4</v>
      </c>
      <c r="B189" s="1">
        <v>46247</v>
      </c>
      <c r="C189" t="s">
        <v>593</v>
      </c>
      <c r="D189" s="2">
        <v>478</v>
      </c>
    </row>
    <row r="190" spans="1:4" x14ac:dyDescent="0.25">
      <c r="A190" t="s">
        <v>4</v>
      </c>
      <c r="B190" s="1">
        <v>46247</v>
      </c>
      <c r="C190" t="s">
        <v>721</v>
      </c>
      <c r="D190" s="2">
        <v>718</v>
      </c>
    </row>
    <row r="191" spans="1:4" x14ac:dyDescent="0.25">
      <c r="A191" t="s">
        <v>4</v>
      </c>
      <c r="B191" s="1">
        <v>46248</v>
      </c>
      <c r="C191" t="s">
        <v>6</v>
      </c>
      <c r="D191" s="2">
        <v>983</v>
      </c>
    </row>
    <row r="192" spans="1:4" x14ac:dyDescent="0.25">
      <c r="A192" t="s">
        <v>4</v>
      </c>
      <c r="B192" s="1">
        <v>46248</v>
      </c>
      <c r="C192" t="s">
        <v>227</v>
      </c>
      <c r="D192" s="2">
        <v>648</v>
      </c>
    </row>
    <row r="193" spans="1:4" x14ac:dyDescent="0.25">
      <c r="A193" t="s">
        <v>4</v>
      </c>
      <c r="B193" s="1">
        <v>46248</v>
      </c>
      <c r="C193" t="s">
        <v>355</v>
      </c>
      <c r="D193" s="2">
        <v>952</v>
      </c>
    </row>
    <row r="194" spans="1:4" x14ac:dyDescent="0.25">
      <c r="A194" t="s">
        <v>4</v>
      </c>
      <c r="B194" s="1">
        <v>46248</v>
      </c>
      <c r="C194" t="s">
        <v>593</v>
      </c>
      <c r="D194" s="2">
        <v>479</v>
      </c>
    </row>
    <row r="195" spans="1:4" x14ac:dyDescent="0.25">
      <c r="A195" t="s">
        <v>4</v>
      </c>
      <c r="B195" s="1">
        <v>46248</v>
      </c>
      <c r="C195" t="s">
        <v>721</v>
      </c>
      <c r="D195" s="2">
        <v>848</v>
      </c>
    </row>
    <row r="196" spans="1:4" x14ac:dyDescent="0.25">
      <c r="A196" t="s">
        <v>4</v>
      </c>
      <c r="B196" s="1">
        <v>46249</v>
      </c>
      <c r="C196" t="s">
        <v>6</v>
      </c>
      <c r="D196" s="2">
        <v>1177</v>
      </c>
    </row>
    <row r="197" spans="1:4" x14ac:dyDescent="0.25">
      <c r="A197" t="s">
        <v>4</v>
      </c>
      <c r="B197" s="1">
        <v>46249</v>
      </c>
      <c r="C197" t="s">
        <v>227</v>
      </c>
      <c r="D197" s="2">
        <v>525</v>
      </c>
    </row>
    <row r="198" spans="1:4" x14ac:dyDescent="0.25">
      <c r="A198" t="s">
        <v>4</v>
      </c>
      <c r="B198" s="1">
        <v>46249</v>
      </c>
      <c r="C198" t="s">
        <v>355</v>
      </c>
      <c r="D198" s="2">
        <v>1337</v>
      </c>
    </row>
    <row r="199" spans="1:4" x14ac:dyDescent="0.25">
      <c r="A199" t="s">
        <v>4</v>
      </c>
      <c r="B199" s="1">
        <v>46249</v>
      </c>
      <c r="C199" t="s">
        <v>593</v>
      </c>
      <c r="D199" s="2">
        <v>565</v>
      </c>
    </row>
    <row r="200" spans="1:4" x14ac:dyDescent="0.25">
      <c r="A200" t="s">
        <v>4</v>
      </c>
      <c r="B200" s="1">
        <v>46249</v>
      </c>
      <c r="C200" t="s">
        <v>721</v>
      </c>
      <c r="D200" s="2">
        <v>980</v>
      </c>
    </row>
    <row r="201" spans="1:4" x14ac:dyDescent="0.25">
      <c r="A201" t="s">
        <v>4</v>
      </c>
      <c r="B201" s="1">
        <v>46250</v>
      </c>
      <c r="C201" t="s">
        <v>6</v>
      </c>
      <c r="D201" s="2">
        <v>875</v>
      </c>
    </row>
    <row r="202" spans="1:4" x14ac:dyDescent="0.25">
      <c r="A202" t="s">
        <v>4</v>
      </c>
      <c r="B202" s="1">
        <v>46250</v>
      </c>
      <c r="C202" t="s">
        <v>227</v>
      </c>
      <c r="D202" s="2">
        <v>468</v>
      </c>
    </row>
    <row r="203" spans="1:4" x14ac:dyDescent="0.25">
      <c r="A203" t="s">
        <v>4</v>
      </c>
      <c r="B203" s="1">
        <v>46250</v>
      </c>
      <c r="C203" t="s">
        <v>355</v>
      </c>
      <c r="D203" s="2">
        <v>778</v>
      </c>
    </row>
    <row r="204" spans="1:4" x14ac:dyDescent="0.25">
      <c r="A204" t="s">
        <v>4</v>
      </c>
      <c r="B204" s="1">
        <v>46250</v>
      </c>
      <c r="C204" t="s">
        <v>593</v>
      </c>
      <c r="D204" s="2">
        <v>367</v>
      </c>
    </row>
    <row r="205" spans="1:4" x14ac:dyDescent="0.25">
      <c r="A205" t="s">
        <v>4</v>
      </c>
      <c r="B205" s="1">
        <v>46250</v>
      </c>
      <c r="C205" t="s">
        <v>721</v>
      </c>
      <c r="D205" s="2">
        <v>842</v>
      </c>
    </row>
    <row r="206" spans="1:4" x14ac:dyDescent="0.25">
      <c r="A206" t="s">
        <v>4</v>
      </c>
      <c r="B206" s="1">
        <v>46251</v>
      </c>
      <c r="C206" t="s">
        <v>6</v>
      </c>
      <c r="D206" s="2">
        <v>831</v>
      </c>
    </row>
    <row r="207" spans="1:4" x14ac:dyDescent="0.25">
      <c r="A207" t="s">
        <v>4</v>
      </c>
      <c r="B207" s="1">
        <v>46251</v>
      </c>
      <c r="C207" t="s">
        <v>227</v>
      </c>
      <c r="D207" s="2">
        <v>492</v>
      </c>
    </row>
    <row r="208" spans="1:4" x14ac:dyDescent="0.25">
      <c r="A208" t="s">
        <v>4</v>
      </c>
      <c r="B208" s="1">
        <v>46251</v>
      </c>
      <c r="C208" t="s">
        <v>355</v>
      </c>
      <c r="D208" s="2">
        <v>716</v>
      </c>
    </row>
    <row r="209" spans="1:4" x14ac:dyDescent="0.25">
      <c r="A209" t="s">
        <v>4</v>
      </c>
      <c r="B209" s="1">
        <v>46251</v>
      </c>
      <c r="C209" t="s">
        <v>593</v>
      </c>
      <c r="D209" s="2">
        <v>381</v>
      </c>
    </row>
    <row r="210" spans="1:4" x14ac:dyDescent="0.25">
      <c r="A210" t="s">
        <v>4</v>
      </c>
      <c r="B210" s="1">
        <v>46251</v>
      </c>
      <c r="C210" t="s">
        <v>721</v>
      </c>
      <c r="D210" s="2">
        <v>775</v>
      </c>
    </row>
    <row r="211" spans="1:4" x14ac:dyDescent="0.25">
      <c r="A211" t="s">
        <v>4</v>
      </c>
      <c r="B211" s="1">
        <v>46252</v>
      </c>
      <c r="C211" t="s">
        <v>6</v>
      </c>
      <c r="D211" s="2">
        <v>1013</v>
      </c>
    </row>
    <row r="212" spans="1:4" x14ac:dyDescent="0.25">
      <c r="A212" t="s">
        <v>4</v>
      </c>
      <c r="B212" s="1">
        <v>46252</v>
      </c>
      <c r="C212" t="s">
        <v>227</v>
      </c>
      <c r="D212" s="2">
        <v>604</v>
      </c>
    </row>
    <row r="213" spans="1:4" x14ac:dyDescent="0.25">
      <c r="A213" t="s">
        <v>4</v>
      </c>
      <c r="B213" s="1">
        <v>46252</v>
      </c>
      <c r="C213" t="s">
        <v>355</v>
      </c>
      <c r="D213" s="2">
        <v>912</v>
      </c>
    </row>
    <row r="214" spans="1:4" x14ac:dyDescent="0.25">
      <c r="A214" t="s">
        <v>4</v>
      </c>
      <c r="B214" s="1">
        <v>46252</v>
      </c>
      <c r="C214" t="s">
        <v>593</v>
      </c>
      <c r="D214" s="2">
        <v>437</v>
      </c>
    </row>
    <row r="215" spans="1:4" x14ac:dyDescent="0.25">
      <c r="A215" t="s">
        <v>4</v>
      </c>
      <c r="B215" s="1">
        <v>46252</v>
      </c>
      <c r="C215" t="s">
        <v>721</v>
      </c>
      <c r="D215" s="2">
        <v>832</v>
      </c>
    </row>
    <row r="216" spans="1:4" x14ac:dyDescent="0.25">
      <c r="A216" t="s">
        <v>4</v>
      </c>
      <c r="B216" s="1">
        <v>46253</v>
      </c>
      <c r="C216" t="s">
        <v>6</v>
      </c>
      <c r="D216" s="2">
        <v>874</v>
      </c>
    </row>
    <row r="217" spans="1:4" x14ac:dyDescent="0.25">
      <c r="A217" t="s">
        <v>4</v>
      </c>
      <c r="B217" s="1">
        <v>46253</v>
      </c>
      <c r="C217" t="s">
        <v>227</v>
      </c>
      <c r="D217" s="2">
        <v>574</v>
      </c>
    </row>
    <row r="218" spans="1:4" x14ac:dyDescent="0.25">
      <c r="A218" t="s">
        <v>4</v>
      </c>
      <c r="B218" s="1">
        <v>46253</v>
      </c>
      <c r="C218" t="s">
        <v>355</v>
      </c>
      <c r="D218" s="2">
        <v>850</v>
      </c>
    </row>
    <row r="219" spans="1:4" x14ac:dyDescent="0.25">
      <c r="A219" t="s">
        <v>4</v>
      </c>
      <c r="B219" s="1">
        <v>46253</v>
      </c>
      <c r="C219" t="s">
        <v>593</v>
      </c>
      <c r="D219" s="2">
        <v>460</v>
      </c>
    </row>
    <row r="220" spans="1:4" x14ac:dyDescent="0.25">
      <c r="A220" t="s">
        <v>4</v>
      </c>
      <c r="B220" s="1">
        <v>46253</v>
      </c>
      <c r="C220" t="s">
        <v>721</v>
      </c>
      <c r="D220" s="2">
        <v>767</v>
      </c>
    </row>
    <row r="221" spans="1:4" x14ac:dyDescent="0.25">
      <c r="A221" t="s">
        <v>4</v>
      </c>
      <c r="B221" s="1">
        <v>46254</v>
      </c>
      <c r="C221" t="s">
        <v>6</v>
      </c>
      <c r="D221" s="2">
        <v>977</v>
      </c>
    </row>
    <row r="222" spans="1:4" x14ac:dyDescent="0.25">
      <c r="A222" t="s">
        <v>4</v>
      </c>
      <c r="B222" s="1">
        <v>46254</v>
      </c>
      <c r="C222" t="s">
        <v>227</v>
      </c>
      <c r="D222" s="2">
        <v>591</v>
      </c>
    </row>
    <row r="223" spans="1:4" x14ac:dyDescent="0.25">
      <c r="A223" t="s">
        <v>4</v>
      </c>
      <c r="B223" s="1">
        <v>46254</v>
      </c>
      <c r="C223" t="s">
        <v>355</v>
      </c>
      <c r="D223" s="2">
        <v>1053</v>
      </c>
    </row>
    <row r="224" spans="1:4" x14ac:dyDescent="0.25">
      <c r="A224" t="s">
        <v>4</v>
      </c>
      <c r="B224" s="1">
        <v>46254</v>
      </c>
      <c r="C224" t="s">
        <v>593</v>
      </c>
      <c r="D224" s="2">
        <v>487</v>
      </c>
    </row>
    <row r="225" spans="1:4" x14ac:dyDescent="0.25">
      <c r="A225" t="s">
        <v>4</v>
      </c>
      <c r="B225" s="1">
        <v>46254</v>
      </c>
      <c r="C225" t="s">
        <v>721</v>
      </c>
      <c r="D225" s="2">
        <v>791</v>
      </c>
    </row>
    <row r="226" spans="1:4" x14ac:dyDescent="0.25">
      <c r="A226" t="s">
        <v>4</v>
      </c>
      <c r="B226" s="1">
        <v>46255</v>
      </c>
      <c r="C226" t="s">
        <v>6</v>
      </c>
      <c r="D226" s="2">
        <v>941</v>
      </c>
    </row>
    <row r="227" spans="1:4" x14ac:dyDescent="0.25">
      <c r="A227" t="s">
        <v>4</v>
      </c>
      <c r="B227" s="1">
        <v>46255</v>
      </c>
      <c r="C227" t="s">
        <v>227</v>
      </c>
      <c r="D227" s="2">
        <v>635</v>
      </c>
    </row>
    <row r="228" spans="1:4" x14ac:dyDescent="0.25">
      <c r="A228" t="s">
        <v>4</v>
      </c>
      <c r="B228" s="1">
        <v>46255</v>
      </c>
      <c r="C228" t="s">
        <v>355</v>
      </c>
      <c r="D228" s="2">
        <v>948</v>
      </c>
    </row>
    <row r="229" spans="1:4" x14ac:dyDescent="0.25">
      <c r="A229" t="s">
        <v>4</v>
      </c>
      <c r="B229" s="1">
        <v>46255</v>
      </c>
      <c r="C229" t="s">
        <v>593</v>
      </c>
      <c r="D229" s="2">
        <v>439</v>
      </c>
    </row>
    <row r="230" spans="1:4" x14ac:dyDescent="0.25">
      <c r="A230" t="s">
        <v>4</v>
      </c>
      <c r="B230" s="1">
        <v>46255</v>
      </c>
      <c r="C230" t="s">
        <v>721</v>
      </c>
      <c r="D230" s="2">
        <v>878</v>
      </c>
    </row>
    <row r="231" spans="1:4" x14ac:dyDescent="0.25">
      <c r="A231" t="s">
        <v>4</v>
      </c>
      <c r="B231" s="1">
        <v>46256</v>
      </c>
      <c r="C231" t="s">
        <v>6</v>
      </c>
      <c r="D231" s="2">
        <v>1043</v>
      </c>
    </row>
    <row r="232" spans="1:4" x14ac:dyDescent="0.25">
      <c r="A232" t="s">
        <v>4</v>
      </c>
      <c r="B232" s="1">
        <v>46256</v>
      </c>
      <c r="C232" t="s">
        <v>227</v>
      </c>
      <c r="D232" s="2">
        <v>560</v>
      </c>
    </row>
    <row r="233" spans="1:4" x14ac:dyDescent="0.25">
      <c r="A233" t="s">
        <v>4</v>
      </c>
      <c r="B233" s="1">
        <v>46256</v>
      </c>
      <c r="C233" t="s">
        <v>355</v>
      </c>
      <c r="D233" s="2">
        <v>1148</v>
      </c>
    </row>
    <row r="234" spans="1:4" x14ac:dyDescent="0.25">
      <c r="A234" t="s">
        <v>4</v>
      </c>
      <c r="B234" s="1">
        <v>46256</v>
      </c>
      <c r="C234" t="s">
        <v>593</v>
      </c>
      <c r="D234" s="2">
        <v>506</v>
      </c>
    </row>
    <row r="235" spans="1:4" x14ac:dyDescent="0.25">
      <c r="A235" t="s">
        <v>4</v>
      </c>
      <c r="B235" s="1">
        <v>46256</v>
      </c>
      <c r="C235" t="s">
        <v>721</v>
      </c>
      <c r="D235" s="2">
        <v>900</v>
      </c>
    </row>
    <row r="236" spans="1:4" x14ac:dyDescent="0.25">
      <c r="A236" t="s">
        <v>4</v>
      </c>
      <c r="B236" s="1">
        <v>46257</v>
      </c>
      <c r="C236" t="s">
        <v>6</v>
      </c>
      <c r="D236" s="2">
        <v>864</v>
      </c>
    </row>
    <row r="237" spans="1:4" x14ac:dyDescent="0.25">
      <c r="A237" t="s">
        <v>4</v>
      </c>
      <c r="B237" s="1">
        <v>46257</v>
      </c>
      <c r="C237" t="s">
        <v>227</v>
      </c>
      <c r="D237" s="2">
        <v>496</v>
      </c>
    </row>
    <row r="238" spans="1:4" x14ac:dyDescent="0.25">
      <c r="A238" t="s">
        <v>4</v>
      </c>
      <c r="B238" s="1">
        <v>46257</v>
      </c>
      <c r="C238" t="s">
        <v>355</v>
      </c>
      <c r="D238" s="2">
        <v>722</v>
      </c>
    </row>
    <row r="239" spans="1:4" x14ac:dyDescent="0.25">
      <c r="A239" t="s">
        <v>4</v>
      </c>
      <c r="B239" s="1">
        <v>46257</v>
      </c>
      <c r="C239" t="s">
        <v>593</v>
      </c>
      <c r="D239" s="2">
        <v>382</v>
      </c>
    </row>
    <row r="240" spans="1:4" x14ac:dyDescent="0.25">
      <c r="A240" t="s">
        <v>4</v>
      </c>
      <c r="B240" s="1">
        <v>46257</v>
      </c>
      <c r="C240" t="s">
        <v>721</v>
      </c>
      <c r="D240" s="2">
        <v>753</v>
      </c>
    </row>
    <row r="241" spans="1:4" x14ac:dyDescent="0.25">
      <c r="A241" t="s">
        <v>4</v>
      </c>
      <c r="B241" s="1">
        <v>46258</v>
      </c>
      <c r="C241" t="s">
        <v>6</v>
      </c>
      <c r="D241" s="2">
        <v>958</v>
      </c>
    </row>
    <row r="242" spans="1:4" x14ac:dyDescent="0.25">
      <c r="A242" t="s">
        <v>4</v>
      </c>
      <c r="B242" s="1">
        <v>46258</v>
      </c>
      <c r="C242" t="s">
        <v>227</v>
      </c>
      <c r="D242" s="2">
        <v>565</v>
      </c>
    </row>
    <row r="243" spans="1:4" x14ac:dyDescent="0.25">
      <c r="A243" t="s">
        <v>4</v>
      </c>
      <c r="B243" s="1">
        <v>46258</v>
      </c>
      <c r="C243" t="s">
        <v>355</v>
      </c>
      <c r="D243" s="2">
        <v>1219</v>
      </c>
    </row>
    <row r="244" spans="1:4" x14ac:dyDescent="0.25">
      <c r="A244" t="s">
        <v>4</v>
      </c>
      <c r="B244" s="1">
        <v>46258</v>
      </c>
      <c r="C244" t="s">
        <v>593</v>
      </c>
      <c r="D244" s="2">
        <v>526</v>
      </c>
    </row>
    <row r="245" spans="1:4" x14ac:dyDescent="0.25">
      <c r="A245" t="s">
        <v>4</v>
      </c>
      <c r="B245" s="1">
        <v>46258</v>
      </c>
      <c r="C245" t="s">
        <v>721</v>
      </c>
      <c r="D245" s="2">
        <v>779</v>
      </c>
    </row>
    <row r="246" spans="1:4" x14ac:dyDescent="0.25">
      <c r="A246" t="s">
        <v>4</v>
      </c>
      <c r="B246" s="1">
        <v>46259</v>
      </c>
      <c r="C246" t="s">
        <v>6</v>
      </c>
      <c r="D246" s="2">
        <v>986</v>
      </c>
    </row>
    <row r="247" spans="1:4" x14ac:dyDescent="0.25">
      <c r="A247" t="s">
        <v>4</v>
      </c>
      <c r="B247" s="1">
        <v>46259</v>
      </c>
      <c r="C247" t="s">
        <v>227</v>
      </c>
      <c r="D247" s="2">
        <v>627</v>
      </c>
    </row>
    <row r="248" spans="1:4" x14ac:dyDescent="0.25">
      <c r="A248" t="s">
        <v>4</v>
      </c>
      <c r="B248" s="1">
        <v>46259</v>
      </c>
      <c r="C248" t="s">
        <v>355</v>
      </c>
      <c r="D248" s="2">
        <v>911</v>
      </c>
    </row>
    <row r="249" spans="1:4" x14ac:dyDescent="0.25">
      <c r="A249" t="s">
        <v>4</v>
      </c>
      <c r="B249" s="1">
        <v>46259</v>
      </c>
      <c r="C249" t="s">
        <v>593</v>
      </c>
      <c r="D249" s="2">
        <v>423</v>
      </c>
    </row>
    <row r="250" spans="1:4" x14ac:dyDescent="0.25">
      <c r="A250" t="s">
        <v>4</v>
      </c>
      <c r="B250" s="1">
        <v>46259</v>
      </c>
      <c r="C250" t="s">
        <v>721</v>
      </c>
      <c r="D250" s="2">
        <v>767</v>
      </c>
    </row>
    <row r="251" spans="1:4" x14ac:dyDescent="0.25">
      <c r="A251" t="s">
        <v>4</v>
      </c>
      <c r="B251" s="1">
        <v>46260</v>
      </c>
      <c r="C251" t="s">
        <v>6</v>
      </c>
      <c r="D251" s="2">
        <v>922</v>
      </c>
    </row>
    <row r="252" spans="1:4" x14ac:dyDescent="0.25">
      <c r="A252" t="s">
        <v>4</v>
      </c>
      <c r="B252" s="1">
        <v>46260</v>
      </c>
      <c r="C252" t="s">
        <v>227</v>
      </c>
      <c r="D252" s="2">
        <v>565</v>
      </c>
    </row>
    <row r="253" spans="1:4" x14ac:dyDescent="0.25">
      <c r="A253" t="s">
        <v>4</v>
      </c>
      <c r="B253" s="1">
        <v>46260</v>
      </c>
      <c r="C253" t="s">
        <v>355</v>
      </c>
      <c r="D253" s="2">
        <v>873</v>
      </c>
    </row>
    <row r="254" spans="1:4" x14ac:dyDescent="0.25">
      <c r="A254" t="s">
        <v>4</v>
      </c>
      <c r="B254" s="1">
        <v>46260</v>
      </c>
      <c r="C254" t="s">
        <v>593</v>
      </c>
      <c r="D254" s="2">
        <v>469</v>
      </c>
    </row>
    <row r="255" spans="1:4" x14ac:dyDescent="0.25">
      <c r="A255" t="s">
        <v>4</v>
      </c>
      <c r="B255" s="1">
        <v>46260</v>
      </c>
      <c r="C255" t="s">
        <v>721</v>
      </c>
      <c r="D255" s="2">
        <v>780</v>
      </c>
    </row>
    <row r="256" spans="1:4" x14ac:dyDescent="0.25">
      <c r="A256" t="s">
        <v>4</v>
      </c>
      <c r="B256" s="1">
        <v>46261</v>
      </c>
      <c r="C256" t="s">
        <v>6</v>
      </c>
      <c r="D256" s="2">
        <v>868</v>
      </c>
    </row>
    <row r="257" spans="1:4" x14ac:dyDescent="0.25">
      <c r="A257" t="s">
        <v>4</v>
      </c>
      <c r="B257" s="1">
        <v>46261</v>
      </c>
      <c r="C257" t="s">
        <v>227</v>
      </c>
      <c r="D257" s="2">
        <v>472</v>
      </c>
    </row>
    <row r="258" spans="1:4" x14ac:dyDescent="0.25">
      <c r="A258" t="s">
        <v>4</v>
      </c>
      <c r="B258" s="1">
        <v>46261</v>
      </c>
      <c r="C258" t="s">
        <v>355</v>
      </c>
      <c r="D258" s="2">
        <v>1185</v>
      </c>
    </row>
    <row r="259" spans="1:4" x14ac:dyDescent="0.25">
      <c r="A259" t="s">
        <v>4</v>
      </c>
      <c r="B259" s="1">
        <v>46261</v>
      </c>
      <c r="C259" t="s">
        <v>593</v>
      </c>
      <c r="D259" s="2">
        <v>471</v>
      </c>
    </row>
    <row r="260" spans="1:4" x14ac:dyDescent="0.25">
      <c r="A260" t="s">
        <v>4</v>
      </c>
      <c r="B260" s="1">
        <v>46261</v>
      </c>
      <c r="C260" t="s">
        <v>721</v>
      </c>
      <c r="D260" s="2">
        <v>714</v>
      </c>
    </row>
    <row r="261" spans="1:4" x14ac:dyDescent="0.25">
      <c r="A261" t="s">
        <v>4</v>
      </c>
      <c r="B261" s="1">
        <v>46262</v>
      </c>
      <c r="C261" t="s">
        <v>6</v>
      </c>
      <c r="D261" s="2">
        <v>974</v>
      </c>
    </row>
    <row r="262" spans="1:4" x14ac:dyDescent="0.25">
      <c r="A262" t="s">
        <v>4</v>
      </c>
      <c r="B262" s="1">
        <v>46262</v>
      </c>
      <c r="C262" t="s">
        <v>227</v>
      </c>
      <c r="D262" s="2">
        <v>666</v>
      </c>
    </row>
    <row r="263" spans="1:4" x14ac:dyDescent="0.25">
      <c r="A263" t="s">
        <v>4</v>
      </c>
      <c r="B263" s="1">
        <v>46262</v>
      </c>
      <c r="C263" t="s">
        <v>355</v>
      </c>
      <c r="D263" s="2">
        <v>959</v>
      </c>
    </row>
    <row r="264" spans="1:4" x14ac:dyDescent="0.25">
      <c r="A264" t="s">
        <v>4</v>
      </c>
      <c r="B264" s="1">
        <v>46262</v>
      </c>
      <c r="C264" t="s">
        <v>593</v>
      </c>
      <c r="D264" s="2">
        <v>450</v>
      </c>
    </row>
    <row r="265" spans="1:4" x14ac:dyDescent="0.25">
      <c r="A265" t="s">
        <v>4</v>
      </c>
      <c r="B265" s="1">
        <v>46262</v>
      </c>
      <c r="C265" t="s">
        <v>721</v>
      </c>
      <c r="D265" s="2">
        <v>906</v>
      </c>
    </row>
    <row r="266" spans="1:4" x14ac:dyDescent="0.25">
      <c r="A266" t="s">
        <v>4</v>
      </c>
      <c r="B266" s="1">
        <v>46263</v>
      </c>
      <c r="C266" t="s">
        <v>6</v>
      </c>
      <c r="D266" s="2">
        <v>1068</v>
      </c>
    </row>
    <row r="267" spans="1:4" x14ac:dyDescent="0.25">
      <c r="A267" t="s">
        <v>4</v>
      </c>
      <c r="B267" s="1">
        <v>46263</v>
      </c>
      <c r="C267" t="s">
        <v>227</v>
      </c>
      <c r="D267" s="2">
        <v>491</v>
      </c>
    </row>
    <row r="268" spans="1:4" x14ac:dyDescent="0.25">
      <c r="A268" t="s">
        <v>4</v>
      </c>
      <c r="B268" s="1">
        <v>46263</v>
      </c>
      <c r="C268" t="s">
        <v>355</v>
      </c>
      <c r="D268" s="2">
        <v>936</v>
      </c>
    </row>
    <row r="269" spans="1:4" x14ac:dyDescent="0.25">
      <c r="A269" t="s">
        <v>4</v>
      </c>
      <c r="B269" s="1">
        <v>46263</v>
      </c>
      <c r="C269" t="s">
        <v>593</v>
      </c>
      <c r="D269" s="2">
        <v>528</v>
      </c>
    </row>
    <row r="270" spans="1:4" x14ac:dyDescent="0.25">
      <c r="A270" t="s">
        <v>4</v>
      </c>
      <c r="B270" s="1">
        <v>46263</v>
      </c>
      <c r="C270" t="s">
        <v>721</v>
      </c>
      <c r="D270" s="2">
        <v>822</v>
      </c>
    </row>
    <row r="271" spans="1:4" x14ac:dyDescent="0.25">
      <c r="A271" t="s">
        <v>4</v>
      </c>
      <c r="B271" s="1">
        <v>46264</v>
      </c>
      <c r="C271" t="s">
        <v>6</v>
      </c>
      <c r="D271" s="2">
        <v>936</v>
      </c>
    </row>
    <row r="272" spans="1:4" x14ac:dyDescent="0.25">
      <c r="A272" t="s">
        <v>4</v>
      </c>
      <c r="B272" s="1">
        <v>46264</v>
      </c>
      <c r="C272" t="s">
        <v>227</v>
      </c>
      <c r="D272" s="2">
        <v>498</v>
      </c>
    </row>
    <row r="273" spans="1:4" x14ac:dyDescent="0.25">
      <c r="A273" t="s">
        <v>4</v>
      </c>
      <c r="B273" s="1">
        <v>46264</v>
      </c>
      <c r="C273" t="s">
        <v>355</v>
      </c>
      <c r="D273" s="2">
        <v>811</v>
      </c>
    </row>
    <row r="274" spans="1:4" x14ac:dyDescent="0.25">
      <c r="A274" t="s">
        <v>4</v>
      </c>
      <c r="B274" s="1">
        <v>46264</v>
      </c>
      <c r="C274" t="s">
        <v>593</v>
      </c>
      <c r="D274" s="2">
        <v>464</v>
      </c>
    </row>
    <row r="275" spans="1:4" x14ac:dyDescent="0.25">
      <c r="A275" t="s">
        <v>4</v>
      </c>
      <c r="B275" s="1">
        <v>46264</v>
      </c>
      <c r="C275" t="s">
        <v>721</v>
      </c>
      <c r="D275" s="2">
        <v>762</v>
      </c>
    </row>
    <row r="276" spans="1:4" x14ac:dyDescent="0.25">
      <c r="A276" t="s">
        <v>4</v>
      </c>
      <c r="B276" s="1">
        <v>46265</v>
      </c>
      <c r="C276" t="s">
        <v>6</v>
      </c>
      <c r="D276" s="2">
        <v>1082</v>
      </c>
    </row>
    <row r="277" spans="1:4" x14ac:dyDescent="0.25">
      <c r="A277" t="s">
        <v>4</v>
      </c>
      <c r="B277" s="1">
        <v>46265</v>
      </c>
      <c r="C277" t="s">
        <v>227</v>
      </c>
      <c r="D277" s="2">
        <v>538</v>
      </c>
    </row>
    <row r="278" spans="1:4" x14ac:dyDescent="0.25">
      <c r="A278" t="s">
        <v>4</v>
      </c>
      <c r="B278" s="1">
        <v>46265</v>
      </c>
      <c r="C278" t="s">
        <v>355</v>
      </c>
      <c r="D278" s="2">
        <v>1368</v>
      </c>
    </row>
    <row r="279" spans="1:4" x14ac:dyDescent="0.25">
      <c r="A279" t="s">
        <v>4</v>
      </c>
      <c r="B279" s="1">
        <v>46265</v>
      </c>
      <c r="C279" t="s">
        <v>593</v>
      </c>
      <c r="D279" s="2">
        <v>509</v>
      </c>
    </row>
    <row r="280" spans="1:4" x14ac:dyDescent="0.25">
      <c r="A280" t="s">
        <v>4</v>
      </c>
      <c r="B280" s="1">
        <v>46265</v>
      </c>
      <c r="C280" t="s">
        <v>721</v>
      </c>
      <c r="D280" s="2">
        <v>732</v>
      </c>
    </row>
    <row r="281" spans="1:4" x14ac:dyDescent="0.25">
      <c r="A281" t="s">
        <v>5</v>
      </c>
      <c r="B281" s="1">
        <v>46266</v>
      </c>
      <c r="C281" t="s">
        <v>6</v>
      </c>
      <c r="D281" s="2">
        <v>1061</v>
      </c>
    </row>
    <row r="282" spans="1:4" x14ac:dyDescent="0.25">
      <c r="A282" t="s">
        <v>5</v>
      </c>
      <c r="B282" s="1">
        <v>46266</v>
      </c>
      <c r="C282" t="s">
        <v>227</v>
      </c>
      <c r="D282" s="2">
        <v>739</v>
      </c>
    </row>
    <row r="283" spans="1:4" x14ac:dyDescent="0.25">
      <c r="A283" t="s">
        <v>5</v>
      </c>
      <c r="B283" s="1">
        <v>46266</v>
      </c>
      <c r="C283" t="s">
        <v>355</v>
      </c>
      <c r="D283" s="2">
        <v>973</v>
      </c>
    </row>
    <row r="284" spans="1:4" x14ac:dyDescent="0.25">
      <c r="A284" t="s">
        <v>5</v>
      </c>
      <c r="B284" s="1">
        <v>46266</v>
      </c>
      <c r="C284" t="s">
        <v>593</v>
      </c>
      <c r="D284" s="2">
        <v>456</v>
      </c>
    </row>
    <row r="285" spans="1:4" x14ac:dyDescent="0.25">
      <c r="A285" t="s">
        <v>5</v>
      </c>
      <c r="B285" s="1">
        <v>46266</v>
      </c>
      <c r="C285" t="s">
        <v>721</v>
      </c>
      <c r="D285" s="2">
        <v>765</v>
      </c>
    </row>
    <row r="286" spans="1:4" x14ac:dyDescent="0.25">
      <c r="A286" t="s">
        <v>5</v>
      </c>
      <c r="B286" s="1">
        <v>46267</v>
      </c>
      <c r="C286" t="s">
        <v>6</v>
      </c>
      <c r="D286" s="2">
        <v>1050</v>
      </c>
    </row>
    <row r="287" spans="1:4" x14ac:dyDescent="0.25">
      <c r="A287" t="s">
        <v>5</v>
      </c>
      <c r="B287" s="1">
        <v>46267</v>
      </c>
      <c r="C287" t="s">
        <v>227</v>
      </c>
      <c r="D287" s="2">
        <v>510</v>
      </c>
    </row>
    <row r="288" spans="1:4" x14ac:dyDescent="0.25">
      <c r="A288" t="s">
        <v>5</v>
      </c>
      <c r="B288" s="1">
        <v>46267</v>
      </c>
      <c r="C288" t="s">
        <v>355</v>
      </c>
      <c r="D288" s="2">
        <v>827</v>
      </c>
    </row>
    <row r="289" spans="1:4" x14ac:dyDescent="0.25">
      <c r="A289" t="s">
        <v>5</v>
      </c>
      <c r="B289" s="1">
        <v>46267</v>
      </c>
      <c r="C289" t="s">
        <v>593</v>
      </c>
      <c r="D289" s="2">
        <v>434</v>
      </c>
    </row>
    <row r="290" spans="1:4" x14ac:dyDescent="0.25">
      <c r="A290" t="s">
        <v>5</v>
      </c>
      <c r="B290" s="1">
        <v>46267</v>
      </c>
      <c r="C290" t="s">
        <v>721</v>
      </c>
      <c r="D290" s="2">
        <v>724</v>
      </c>
    </row>
    <row r="291" spans="1:4" x14ac:dyDescent="0.25">
      <c r="A291" t="s">
        <v>5</v>
      </c>
      <c r="B291" s="1">
        <v>46268</v>
      </c>
      <c r="C291" t="s">
        <v>6</v>
      </c>
      <c r="D291" s="2">
        <v>931</v>
      </c>
    </row>
    <row r="292" spans="1:4" x14ac:dyDescent="0.25">
      <c r="A292" t="s">
        <v>5</v>
      </c>
      <c r="B292" s="1">
        <v>46268</v>
      </c>
      <c r="C292" t="s">
        <v>227</v>
      </c>
      <c r="D292" s="2">
        <v>512</v>
      </c>
    </row>
    <row r="293" spans="1:4" x14ac:dyDescent="0.25">
      <c r="A293" t="s">
        <v>5</v>
      </c>
      <c r="B293" s="1">
        <v>46268</v>
      </c>
      <c r="C293" t="s">
        <v>355</v>
      </c>
      <c r="D293" s="2">
        <v>1195</v>
      </c>
    </row>
    <row r="294" spans="1:4" x14ac:dyDescent="0.25">
      <c r="A294" t="s">
        <v>5</v>
      </c>
      <c r="B294" s="1">
        <v>46268</v>
      </c>
      <c r="C294" t="s">
        <v>593</v>
      </c>
      <c r="D294" s="2">
        <v>450</v>
      </c>
    </row>
    <row r="295" spans="1:4" x14ac:dyDescent="0.25">
      <c r="A295" t="s">
        <v>5</v>
      </c>
      <c r="B295" s="1">
        <v>46268</v>
      </c>
      <c r="C295" t="s">
        <v>721</v>
      </c>
      <c r="D295" s="2">
        <v>687</v>
      </c>
    </row>
    <row r="296" spans="1:4" x14ac:dyDescent="0.25">
      <c r="A296" t="s">
        <v>5</v>
      </c>
      <c r="B296" s="1">
        <v>46269</v>
      </c>
      <c r="C296" t="s">
        <v>6</v>
      </c>
      <c r="D296" s="2">
        <v>960</v>
      </c>
    </row>
    <row r="297" spans="1:4" x14ac:dyDescent="0.25">
      <c r="A297" t="s">
        <v>5</v>
      </c>
      <c r="B297" s="1">
        <v>46269</v>
      </c>
      <c r="C297" t="s">
        <v>227</v>
      </c>
      <c r="D297" s="2">
        <v>669</v>
      </c>
    </row>
    <row r="298" spans="1:4" x14ac:dyDescent="0.25">
      <c r="A298" t="s">
        <v>5</v>
      </c>
      <c r="B298" s="1">
        <v>46269</v>
      </c>
      <c r="C298" t="s">
        <v>355</v>
      </c>
      <c r="D298" s="2">
        <v>977</v>
      </c>
    </row>
    <row r="299" spans="1:4" x14ac:dyDescent="0.25">
      <c r="A299" t="s">
        <v>5</v>
      </c>
      <c r="B299" s="1">
        <v>46269</v>
      </c>
      <c r="C299" t="s">
        <v>593</v>
      </c>
      <c r="D299" s="2">
        <v>382</v>
      </c>
    </row>
    <row r="300" spans="1:4" x14ac:dyDescent="0.25">
      <c r="A300" t="s">
        <v>5</v>
      </c>
      <c r="B300" s="1">
        <v>46269</v>
      </c>
      <c r="C300" t="s">
        <v>721</v>
      </c>
      <c r="D300" s="2">
        <v>819</v>
      </c>
    </row>
    <row r="301" spans="1:4" x14ac:dyDescent="0.25">
      <c r="A301" t="s">
        <v>5</v>
      </c>
      <c r="B301" s="1">
        <v>46270</v>
      </c>
      <c r="C301" t="s">
        <v>6</v>
      </c>
      <c r="D301" s="2">
        <v>1030</v>
      </c>
    </row>
    <row r="302" spans="1:4" x14ac:dyDescent="0.25">
      <c r="A302" t="s">
        <v>5</v>
      </c>
      <c r="B302" s="1">
        <v>46270</v>
      </c>
      <c r="C302" t="s">
        <v>227</v>
      </c>
      <c r="D302" s="2">
        <v>467</v>
      </c>
    </row>
    <row r="303" spans="1:4" x14ac:dyDescent="0.25">
      <c r="A303" t="s">
        <v>5</v>
      </c>
      <c r="B303" s="1">
        <v>46270</v>
      </c>
      <c r="C303" t="s">
        <v>355</v>
      </c>
      <c r="D303" s="2">
        <v>948</v>
      </c>
    </row>
    <row r="304" spans="1:4" x14ac:dyDescent="0.25">
      <c r="A304" t="s">
        <v>5</v>
      </c>
      <c r="B304" s="1">
        <v>46270</v>
      </c>
      <c r="C304" t="s">
        <v>593</v>
      </c>
      <c r="D304" s="2">
        <v>516</v>
      </c>
    </row>
    <row r="305" spans="1:4" x14ac:dyDescent="0.25">
      <c r="A305" t="s">
        <v>5</v>
      </c>
      <c r="B305" s="1">
        <v>46270</v>
      </c>
      <c r="C305" t="s">
        <v>721</v>
      </c>
      <c r="D305" s="2">
        <v>842</v>
      </c>
    </row>
    <row r="306" spans="1:4" x14ac:dyDescent="0.25">
      <c r="A306" t="s">
        <v>5</v>
      </c>
      <c r="B306" s="1">
        <v>46271</v>
      </c>
      <c r="C306" t="s">
        <v>6</v>
      </c>
      <c r="D306" s="2">
        <v>804</v>
      </c>
    </row>
    <row r="307" spans="1:4" x14ac:dyDescent="0.25">
      <c r="A307" t="s">
        <v>5</v>
      </c>
      <c r="B307" s="1">
        <v>46271</v>
      </c>
      <c r="C307" t="s">
        <v>227</v>
      </c>
      <c r="D307" s="2">
        <v>416</v>
      </c>
    </row>
    <row r="308" spans="1:4" x14ac:dyDescent="0.25">
      <c r="A308" t="s">
        <v>5</v>
      </c>
      <c r="B308" s="1">
        <v>46271</v>
      </c>
      <c r="C308" t="s">
        <v>355</v>
      </c>
      <c r="D308" s="2">
        <v>751</v>
      </c>
    </row>
    <row r="309" spans="1:4" x14ac:dyDescent="0.25">
      <c r="A309" t="s">
        <v>5</v>
      </c>
      <c r="B309" s="1">
        <v>46271</v>
      </c>
      <c r="C309" t="s">
        <v>593</v>
      </c>
      <c r="D309" s="2">
        <v>353</v>
      </c>
    </row>
    <row r="310" spans="1:4" x14ac:dyDescent="0.25">
      <c r="A310" t="s">
        <v>5</v>
      </c>
      <c r="B310" s="1">
        <v>46271</v>
      </c>
      <c r="C310" t="s">
        <v>721</v>
      </c>
      <c r="D310" s="2">
        <v>680</v>
      </c>
    </row>
    <row r="311" spans="1:4" x14ac:dyDescent="0.25">
      <c r="A311" t="s">
        <v>5</v>
      </c>
      <c r="B311" s="1">
        <v>46272</v>
      </c>
      <c r="C311" t="s">
        <v>6</v>
      </c>
      <c r="D311" s="2">
        <v>1005</v>
      </c>
    </row>
    <row r="312" spans="1:4" x14ac:dyDescent="0.25">
      <c r="A312" t="s">
        <v>5</v>
      </c>
      <c r="B312" s="1">
        <v>46272</v>
      </c>
      <c r="C312" t="s">
        <v>227</v>
      </c>
      <c r="D312" s="2">
        <v>479</v>
      </c>
    </row>
    <row r="313" spans="1:4" x14ac:dyDescent="0.25">
      <c r="A313" t="s">
        <v>5</v>
      </c>
      <c r="B313" s="1">
        <v>46272</v>
      </c>
      <c r="C313" t="s">
        <v>355</v>
      </c>
      <c r="D313" s="2">
        <v>1259</v>
      </c>
    </row>
    <row r="314" spans="1:4" x14ac:dyDescent="0.25">
      <c r="A314" t="s">
        <v>5</v>
      </c>
      <c r="B314" s="1">
        <v>46272</v>
      </c>
      <c r="C314" t="s">
        <v>593</v>
      </c>
      <c r="D314" s="2">
        <v>414</v>
      </c>
    </row>
    <row r="315" spans="1:4" x14ac:dyDescent="0.25">
      <c r="A315" t="s">
        <v>5</v>
      </c>
      <c r="B315" s="1">
        <v>46272</v>
      </c>
      <c r="C315" t="s">
        <v>721</v>
      </c>
      <c r="D315" s="2">
        <v>713</v>
      </c>
    </row>
    <row r="316" spans="1:4" x14ac:dyDescent="0.25">
      <c r="A316" t="s">
        <v>5</v>
      </c>
      <c r="B316" s="1">
        <v>46273</v>
      </c>
      <c r="C316" t="s">
        <v>6</v>
      </c>
      <c r="D316" s="2">
        <v>1000</v>
      </c>
    </row>
    <row r="317" spans="1:4" x14ac:dyDescent="0.25">
      <c r="A317" t="s">
        <v>5</v>
      </c>
      <c r="B317" s="1">
        <v>46273</v>
      </c>
      <c r="C317" t="s">
        <v>227</v>
      </c>
      <c r="D317" s="2">
        <v>588</v>
      </c>
    </row>
    <row r="318" spans="1:4" x14ac:dyDescent="0.25">
      <c r="A318" t="s">
        <v>5</v>
      </c>
      <c r="B318" s="1">
        <v>46273</v>
      </c>
      <c r="C318" t="s">
        <v>355</v>
      </c>
      <c r="D318" s="2">
        <v>816</v>
      </c>
    </row>
    <row r="319" spans="1:4" x14ac:dyDescent="0.25">
      <c r="A319" t="s">
        <v>5</v>
      </c>
      <c r="B319" s="1">
        <v>46273</v>
      </c>
      <c r="C319" t="s">
        <v>593</v>
      </c>
      <c r="D319" s="2">
        <v>487</v>
      </c>
    </row>
    <row r="320" spans="1:4" x14ac:dyDescent="0.25">
      <c r="A320" t="s">
        <v>5</v>
      </c>
      <c r="B320" s="1">
        <v>46273</v>
      </c>
      <c r="C320" t="s">
        <v>721</v>
      </c>
      <c r="D320" s="2">
        <v>739</v>
      </c>
    </row>
    <row r="321" spans="1:4" x14ac:dyDescent="0.25">
      <c r="A321" t="s">
        <v>5</v>
      </c>
      <c r="B321" s="1">
        <v>46274</v>
      </c>
      <c r="C321" t="s">
        <v>6</v>
      </c>
      <c r="D321" s="2">
        <v>967</v>
      </c>
    </row>
    <row r="322" spans="1:4" x14ac:dyDescent="0.25">
      <c r="A322" t="s">
        <v>5</v>
      </c>
      <c r="B322" s="1">
        <v>46274</v>
      </c>
      <c r="C322" t="s">
        <v>227</v>
      </c>
      <c r="D322" s="2">
        <v>520</v>
      </c>
    </row>
    <row r="323" spans="1:4" x14ac:dyDescent="0.25">
      <c r="A323" t="s">
        <v>5</v>
      </c>
      <c r="B323" s="1">
        <v>46274</v>
      </c>
      <c r="C323" t="s">
        <v>355</v>
      </c>
      <c r="D323" s="2">
        <v>824</v>
      </c>
    </row>
    <row r="324" spans="1:4" x14ac:dyDescent="0.25">
      <c r="A324" t="s">
        <v>5</v>
      </c>
      <c r="B324" s="1">
        <v>46274</v>
      </c>
      <c r="C324" t="s">
        <v>593</v>
      </c>
      <c r="D324" s="2">
        <v>462</v>
      </c>
    </row>
    <row r="325" spans="1:4" x14ac:dyDescent="0.25">
      <c r="A325" t="s">
        <v>5</v>
      </c>
      <c r="B325" s="1">
        <v>46274</v>
      </c>
      <c r="C325" t="s">
        <v>721</v>
      </c>
      <c r="D325" s="2">
        <v>650</v>
      </c>
    </row>
    <row r="326" spans="1:4" x14ac:dyDescent="0.25">
      <c r="A326" t="s">
        <v>5</v>
      </c>
      <c r="B326" s="1">
        <v>46275</v>
      </c>
      <c r="C326" t="s">
        <v>6</v>
      </c>
      <c r="D326" s="2">
        <v>1003</v>
      </c>
    </row>
    <row r="327" spans="1:4" x14ac:dyDescent="0.25">
      <c r="A327" t="s">
        <v>5</v>
      </c>
      <c r="B327" s="1">
        <v>46275</v>
      </c>
      <c r="C327" t="s">
        <v>227</v>
      </c>
      <c r="D327" s="2">
        <v>512</v>
      </c>
    </row>
    <row r="328" spans="1:4" x14ac:dyDescent="0.25">
      <c r="A328" t="s">
        <v>5</v>
      </c>
      <c r="B328" s="1">
        <v>46275</v>
      </c>
      <c r="C328" t="s">
        <v>355</v>
      </c>
      <c r="D328" s="2">
        <v>1231</v>
      </c>
    </row>
    <row r="329" spans="1:4" x14ac:dyDescent="0.25">
      <c r="A329" t="s">
        <v>5</v>
      </c>
      <c r="B329" s="1">
        <v>46275</v>
      </c>
      <c r="C329" t="s">
        <v>593</v>
      </c>
      <c r="D329" s="2">
        <v>439</v>
      </c>
    </row>
    <row r="330" spans="1:4" x14ac:dyDescent="0.25">
      <c r="A330" t="s">
        <v>5</v>
      </c>
      <c r="B330" s="1">
        <v>46275</v>
      </c>
      <c r="C330" t="s">
        <v>721</v>
      </c>
      <c r="D330" s="2">
        <v>745</v>
      </c>
    </row>
    <row r="331" spans="1:4" x14ac:dyDescent="0.25">
      <c r="A331" t="s">
        <v>5</v>
      </c>
      <c r="B331" s="1">
        <v>46276</v>
      </c>
      <c r="C331" t="s">
        <v>6</v>
      </c>
      <c r="D331" s="2">
        <v>998</v>
      </c>
    </row>
    <row r="332" spans="1:4" x14ac:dyDescent="0.25">
      <c r="A332" t="s">
        <v>5</v>
      </c>
      <c r="B332" s="1">
        <v>46276</v>
      </c>
      <c r="C332" t="s">
        <v>227</v>
      </c>
      <c r="D332" s="2">
        <v>650</v>
      </c>
    </row>
    <row r="333" spans="1:4" x14ac:dyDescent="0.25">
      <c r="A333" t="s">
        <v>5</v>
      </c>
      <c r="B333" s="1">
        <v>46276</v>
      </c>
      <c r="C333" t="s">
        <v>355</v>
      </c>
      <c r="D333" s="2">
        <v>838</v>
      </c>
    </row>
    <row r="334" spans="1:4" x14ac:dyDescent="0.25">
      <c r="A334" t="s">
        <v>5</v>
      </c>
      <c r="B334" s="1">
        <v>46276</v>
      </c>
      <c r="C334" t="s">
        <v>593</v>
      </c>
      <c r="D334" s="2">
        <v>451</v>
      </c>
    </row>
    <row r="335" spans="1:4" x14ac:dyDescent="0.25">
      <c r="A335" t="s">
        <v>5</v>
      </c>
      <c r="B335" s="1">
        <v>46276</v>
      </c>
      <c r="C335" t="s">
        <v>721</v>
      </c>
      <c r="D335" s="2">
        <v>807</v>
      </c>
    </row>
    <row r="336" spans="1:4" x14ac:dyDescent="0.25">
      <c r="A336" t="s">
        <v>5</v>
      </c>
      <c r="B336" s="1">
        <v>46277</v>
      </c>
      <c r="C336" t="s">
        <v>6</v>
      </c>
      <c r="D336" s="2">
        <v>967</v>
      </c>
    </row>
    <row r="337" spans="1:4" x14ac:dyDescent="0.25">
      <c r="A337" t="s">
        <v>5</v>
      </c>
      <c r="B337" s="1">
        <v>46277</v>
      </c>
      <c r="C337" t="s">
        <v>227</v>
      </c>
      <c r="D337" s="2">
        <v>495</v>
      </c>
    </row>
    <row r="338" spans="1:4" x14ac:dyDescent="0.25">
      <c r="A338" t="s">
        <v>5</v>
      </c>
      <c r="B338" s="1">
        <v>46277</v>
      </c>
      <c r="C338" t="s">
        <v>355</v>
      </c>
      <c r="D338" s="2">
        <v>840</v>
      </c>
    </row>
    <row r="339" spans="1:4" x14ac:dyDescent="0.25">
      <c r="A339" t="s">
        <v>5</v>
      </c>
      <c r="B339" s="1">
        <v>46277</v>
      </c>
      <c r="C339" t="s">
        <v>593</v>
      </c>
      <c r="D339" s="2">
        <v>458</v>
      </c>
    </row>
    <row r="340" spans="1:4" x14ac:dyDescent="0.25">
      <c r="A340" t="s">
        <v>5</v>
      </c>
      <c r="B340" s="1">
        <v>46277</v>
      </c>
      <c r="C340" t="s">
        <v>721</v>
      </c>
      <c r="D340" s="2">
        <v>790</v>
      </c>
    </row>
    <row r="341" spans="1:4" x14ac:dyDescent="0.25">
      <c r="A341" t="s">
        <v>5</v>
      </c>
      <c r="B341" s="1">
        <v>46278</v>
      </c>
      <c r="C341" t="s">
        <v>6</v>
      </c>
      <c r="D341" s="2">
        <v>829</v>
      </c>
    </row>
    <row r="342" spans="1:4" x14ac:dyDescent="0.25">
      <c r="A342" t="s">
        <v>5</v>
      </c>
      <c r="B342" s="1">
        <v>46278</v>
      </c>
      <c r="C342" t="s">
        <v>227</v>
      </c>
      <c r="D342" s="2">
        <v>474</v>
      </c>
    </row>
    <row r="343" spans="1:4" x14ac:dyDescent="0.25">
      <c r="A343" t="s">
        <v>5</v>
      </c>
      <c r="B343" s="1">
        <v>46278</v>
      </c>
      <c r="C343" t="s">
        <v>355</v>
      </c>
      <c r="D343" s="2">
        <v>746</v>
      </c>
    </row>
    <row r="344" spans="1:4" x14ac:dyDescent="0.25">
      <c r="A344" t="s">
        <v>5</v>
      </c>
      <c r="B344" s="1">
        <v>46278</v>
      </c>
      <c r="C344" t="s">
        <v>593</v>
      </c>
      <c r="D344" s="2">
        <v>368</v>
      </c>
    </row>
    <row r="345" spans="1:4" x14ac:dyDescent="0.25">
      <c r="A345" t="s">
        <v>5</v>
      </c>
      <c r="B345" s="1">
        <v>46278</v>
      </c>
      <c r="C345" t="s">
        <v>721</v>
      </c>
      <c r="D345" s="2">
        <v>725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D71147D-1543-402F-AC4F-24952BBCDB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TREN_AGEN</vt:lpstr>
      <vt:lpstr>Tren Harian_SCO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 Mutiara</dc:creator>
  <cp:lastModifiedBy>Pasha</cp:lastModifiedBy>
  <dcterms:created xsi:type="dcterms:W3CDTF">2015-06-05T18:17:20Z</dcterms:created>
  <dcterms:modified xsi:type="dcterms:W3CDTF">2026-09-14T04:21:53Z</dcterms:modified>
</cp:coreProperties>
</file>